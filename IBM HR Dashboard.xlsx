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clients\excel\"/>
    </mc:Choice>
  </mc:AlternateContent>
  <xr:revisionPtr revIDLastSave="0" documentId="13_ncr:1_{6B29F746-F9BB-45DD-8CB3-C1EACF1ABDBA}" xr6:coauthVersionLast="47" xr6:coauthVersionMax="47" xr10:uidLastSave="{00000000-0000-0000-0000-000000000000}"/>
  <bookViews>
    <workbookView xWindow="-110" yWindow="-110" windowWidth="19420" windowHeight="11500" activeTab="2" xr2:uid="{3379D0E6-6AF5-4CD6-809B-AC504522DA4A}"/>
  </bookViews>
  <sheets>
    <sheet name="IBM HR Employee Attrition" sheetId="1" r:id="rId1"/>
    <sheet name="Pivot Table" sheetId="2" r:id="rId2"/>
    <sheet name="Dashboard" sheetId="3" r:id="rId3"/>
  </sheets>
  <definedNames>
    <definedName name="_xlchart.v1.0" hidden="1">'Pivot Table'!$AD$2:$AD$10</definedName>
    <definedName name="_xlchart.v1.1" hidden="1">'Pivot Table'!$AE$2:$AE$10</definedName>
    <definedName name="_xlchart.v1.10" hidden="1">'Pivot Table'!$AE$2:$AE$10</definedName>
    <definedName name="_xlchart.v1.11" hidden="1">'Pivot Table'!$AD$2:$AD$10</definedName>
    <definedName name="_xlchart.v1.12" hidden="1">'Pivot Table'!$AE$2:$AE$10</definedName>
    <definedName name="_xlchart.v1.13" hidden="1">'Pivot Table'!$AB$2:$AB$11</definedName>
    <definedName name="_xlchart.v1.14" hidden="1">'Pivot Table'!$AC$1</definedName>
    <definedName name="_xlchart.v1.15" hidden="1">'Pivot Table'!$AC$2:$AC$11</definedName>
    <definedName name="_xlchart.v1.16" hidden="1">'Pivot Table'!$AD$1</definedName>
    <definedName name="_xlchart.v1.17" hidden="1">'Pivot Table'!$AD$2:$AD$11</definedName>
    <definedName name="_xlchart.v1.18" hidden="1">'Pivot Table'!$AE$1</definedName>
    <definedName name="_xlchart.v1.19" hidden="1">'Pivot Table'!$AE$2:$AE$11</definedName>
    <definedName name="_xlchart.v1.2" hidden="1">'Pivot Table'!$AB$2:$AB$11</definedName>
    <definedName name="_xlchart.v1.20" hidden="1">'Pivot Table'!$AD$2:$AD$10</definedName>
    <definedName name="_xlchart.v1.21" hidden="1">'Pivot Table'!$AE$2:$AE$10</definedName>
    <definedName name="_xlchart.v1.22" hidden="1">'Pivot Table'!$AD$2:$AD$10</definedName>
    <definedName name="_xlchart.v1.23" hidden="1">'Pivot Table'!$AE$2:$AE$10</definedName>
    <definedName name="_xlchart.v1.3" hidden="1">'Pivot Table'!$AC$1</definedName>
    <definedName name="_xlchart.v1.4" hidden="1">'Pivot Table'!$AC$2:$AC$11</definedName>
    <definedName name="_xlchart.v1.5" hidden="1">'Pivot Table'!$AD$1</definedName>
    <definedName name="_xlchart.v1.6" hidden="1">'Pivot Table'!$AD$2:$AD$11</definedName>
    <definedName name="_xlchart.v1.7" hidden="1">'Pivot Table'!$AE$1</definedName>
    <definedName name="_xlchart.v1.8" hidden="1">'Pivot Table'!$AE$2:$AE$11</definedName>
    <definedName name="_xlchart.v1.9" hidden="1">'Pivot Table'!$AD$2:$AD$10</definedName>
    <definedName name="Slicer_Department">#N/A</definedName>
    <definedName name="Slicer_Gender">#N/A</definedName>
    <definedName name="Slicer_JobLevel">#N/A</definedName>
    <definedName name="Slicer_MaritalStatus">#N/A</definedName>
  </definedNames>
  <calcPr calcId="181029"/>
  <pivotCaches>
    <pivotCache cacheId="2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2" l="1"/>
  <c r="L2" i="2"/>
  <c r="AD10" i="2"/>
  <c r="AD9" i="2"/>
  <c r="AD8" i="2"/>
  <c r="AD7" i="2"/>
  <c r="AD6" i="2"/>
  <c r="Y6" i="2"/>
  <c r="AI5" i="2"/>
  <c r="AD5" i="2"/>
  <c r="Y5" i="2"/>
  <c r="S5" i="2"/>
  <c r="AI4" i="2"/>
  <c r="AD4" i="2"/>
  <c r="Y4" i="2"/>
  <c r="S4" i="2"/>
  <c r="L4" i="2"/>
  <c r="AI3" i="2"/>
  <c r="AD3" i="2"/>
  <c r="Y3" i="2"/>
  <c r="L3" i="2"/>
  <c r="G3" i="2"/>
  <c r="AI2" i="2"/>
  <c r="AD2" i="2"/>
  <c r="Y2" i="2"/>
  <c r="G2" i="2"/>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A19" i="2"/>
  <c r="A17" i="2"/>
  <c r="A16" i="2"/>
  <c r="T5" i="2"/>
  <c r="H3" i="2"/>
  <c r="A18" i="2"/>
  <c r="U5" i="2"/>
  <c r="AE10" i="2"/>
  <c r="Z4" i="2"/>
  <c r="M2" i="2"/>
  <c r="AJ3" i="2"/>
  <c r="AE3" i="2"/>
  <c r="Z3" i="2"/>
  <c r="AJ5" i="2"/>
  <c r="M3" i="2"/>
  <c r="AJ4" i="2"/>
  <c r="Z2" i="2"/>
  <c r="AE9" i="2"/>
  <c r="U4" i="2"/>
  <c r="H2" i="2"/>
  <c r="AE8" i="2"/>
  <c r="M4" i="2"/>
  <c r="AE7" i="2"/>
  <c r="AE6" i="2"/>
  <c r="Z6" i="2"/>
  <c r="T3" i="2"/>
  <c r="AE5" i="2"/>
  <c r="Z5" i="2"/>
  <c r="AJ2" i="2"/>
  <c r="AE2" i="2"/>
  <c r="AE4" i="2"/>
  <c r="U3" i="2" l="1"/>
  <c r="T4" i="2"/>
</calcChain>
</file>

<file path=xl/sharedStrings.xml><?xml version="1.0" encoding="utf-8"?>
<sst xmlns="http://schemas.openxmlformats.org/spreadsheetml/2006/main" count="3292" uniqueCount="399">
  <si>
    <t>EmployeeName</t>
  </si>
  <si>
    <t>Age</t>
  </si>
  <si>
    <t>Age Group</t>
  </si>
  <si>
    <t>Attrition</t>
  </si>
  <si>
    <t>EmployeeStatus</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</si>
  <si>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</si>
  <si>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</si>
  <si>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</si>
  <si>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</si>
  <si>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</si>
  <si>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</si>
  <si>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</si>
  <si>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</si>
  <si>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</si>
  <si>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</si>
  <si>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</si>
  <si>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</si>
  <si>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</si>
  <si>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</si>
  <si>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</si>
  <si>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</si>
  <si>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</si>
  <si>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</si>
  <si>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</si>
  <si>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</si>
  <si>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</si>
  <si>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</si>
  <si>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</si>
  <si>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</si>
  <si>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</si>
  <si>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</si>
  <si>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</si>
  <si>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</si>
  <si>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</si>
  <si>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Deborah Jones</t>
  </si>
  <si>
    <t>No</t>
  </si>
  <si>
    <t>Active</t>
  </si>
  <si>
    <t>Travel_Rarely</t>
  </si>
  <si>
    <t>Research &amp; Development</t>
  </si>
  <si>
    <t>Technical Degree</t>
  </si>
  <si>
    <t>Male</t>
  </si>
  <si>
    <t>Research Director</t>
  </si>
  <si>
    <t>Single</t>
  </si>
  <si>
    <t>Yes</t>
  </si>
  <si>
    <t>Betty Brown</t>
  </si>
  <si>
    <t>Left</t>
  </si>
  <si>
    <t>Sales</t>
  </si>
  <si>
    <t>Life Sciences</t>
  </si>
  <si>
    <t>Manager</t>
  </si>
  <si>
    <t>Married</t>
  </si>
  <si>
    <t>Christine White</t>
  </si>
  <si>
    <t>Female</t>
  </si>
  <si>
    <t>Research Scientist</t>
  </si>
  <si>
    <t>Patrick Anderson</t>
  </si>
  <si>
    <t>Travel_Frequently</t>
  </si>
  <si>
    <t>Healthcare Representative</t>
  </si>
  <si>
    <t>Divorced</t>
  </si>
  <si>
    <t>Lisa Rodriguez</t>
  </si>
  <si>
    <t>Catherine Campbell</t>
  </si>
  <si>
    <t>Non-Travel</t>
  </si>
  <si>
    <t>Laboratory Technician</t>
  </si>
  <si>
    <t>Kevin Clark</t>
  </si>
  <si>
    <t>Manufacturing Director</t>
  </si>
  <si>
    <t>David Flores</t>
  </si>
  <si>
    <t>Other</t>
  </si>
  <si>
    <t>Sales Representative</t>
  </si>
  <si>
    <t>Jonathan Carter</t>
  </si>
  <si>
    <t>Linda Hall</t>
  </si>
  <si>
    <t>James Lopez</t>
  </si>
  <si>
    <t>Medical</t>
  </si>
  <si>
    <t>Sharon Miller</t>
  </si>
  <si>
    <t>Karen Hall</t>
  </si>
  <si>
    <t>Shirley Garcia</t>
  </si>
  <si>
    <t>Jeffrey Harris</t>
  </si>
  <si>
    <t>Sharon Carter</t>
  </si>
  <si>
    <t>Amy Smith</t>
  </si>
  <si>
    <t>Paul Martinez</t>
  </si>
  <si>
    <t>Brandon Hill</t>
  </si>
  <si>
    <t>John Campbell</t>
  </si>
  <si>
    <t>Elizabeth White</t>
  </si>
  <si>
    <t>Sales Executive</t>
  </si>
  <si>
    <t>Heather Brown</t>
  </si>
  <si>
    <t>Larry Martin</t>
  </si>
  <si>
    <t>Edward Johnson</t>
  </si>
  <si>
    <t>Nicholas Taylor</t>
  </si>
  <si>
    <t>Ashley Robinson</t>
  </si>
  <si>
    <t>Brian Lewis</t>
  </si>
  <si>
    <t>Brenda White</t>
  </si>
  <si>
    <t>William Adams</t>
  </si>
  <si>
    <t>Emily Smith</t>
  </si>
  <si>
    <t>Amy Davis</t>
  </si>
  <si>
    <t>Lisa Lewis</t>
  </si>
  <si>
    <t>Dennis Perez</t>
  </si>
  <si>
    <t>Emily King</t>
  </si>
  <si>
    <t>Helen Ramirez</t>
  </si>
  <si>
    <t>Maria Martin</t>
  </si>
  <si>
    <t>Margaret Jones</t>
  </si>
  <si>
    <t>Karen King</t>
  </si>
  <si>
    <t>Donald Nguyen</t>
  </si>
  <si>
    <t>Human Resources</t>
  </si>
  <si>
    <t>Pamela Robinson</t>
  </si>
  <si>
    <t>Katherine Young</t>
  </si>
  <si>
    <t>Robert Martin</t>
  </si>
  <si>
    <t>Marketing</t>
  </si>
  <si>
    <t>Ronald Jackson</t>
  </si>
  <si>
    <t>Nancy Brown</t>
  </si>
  <si>
    <t>Nicole Mitchell</t>
  </si>
  <si>
    <t>Thomas Gonzalez</t>
  </si>
  <si>
    <t>Janet Baker</t>
  </si>
  <si>
    <t>Elizabeth Gonzalez</t>
  </si>
  <si>
    <t>Helen Campbell</t>
  </si>
  <si>
    <t>Joseph Lee</t>
  </si>
  <si>
    <t>Laura Thomas</t>
  </si>
  <si>
    <t>Kathleen Scott</t>
  </si>
  <si>
    <t>Edward Jones</t>
  </si>
  <si>
    <t>Amanda Rodriguez</t>
  </si>
  <si>
    <t>Raymond Baker</t>
  </si>
  <si>
    <t>Rachel Wilson</t>
  </si>
  <si>
    <t>Ronald Flores</t>
  </si>
  <si>
    <t>Patricia Robinson</t>
  </si>
  <si>
    <t>Richard Gonzalez</t>
  </si>
  <si>
    <t>Samantha Robinson</t>
  </si>
  <si>
    <t>David Hill</t>
  </si>
  <si>
    <t>Stephen Perez</t>
  </si>
  <si>
    <t>Brian Ramirez</t>
  </si>
  <si>
    <t>Linda Moore</t>
  </si>
  <si>
    <t>Anna Torres</t>
  </si>
  <si>
    <t>Timothy Adams</t>
  </si>
  <si>
    <t>Carol Robinson</t>
  </si>
  <si>
    <t>Anthony Smith</t>
  </si>
  <si>
    <t>Gary Thompson</t>
  </si>
  <si>
    <t>Jerry Gonzalez</t>
  </si>
  <si>
    <t>Michael Green</t>
  </si>
  <si>
    <t>Paul Nelson</t>
  </si>
  <si>
    <t>Janet Hill</t>
  </si>
  <si>
    <t>Sarah Garcia</t>
  </si>
  <si>
    <t>Samantha Roberts</t>
  </si>
  <si>
    <t>Jason Gonzalez</t>
  </si>
  <si>
    <t>Patrick Mitchell</t>
  </si>
  <si>
    <t>Donna Martinez</t>
  </si>
  <si>
    <t>Rachel Perez</t>
  </si>
  <si>
    <t>John Ramirez</t>
  </si>
  <si>
    <t>Scott Adams</t>
  </si>
  <si>
    <t>Nicole Miller</t>
  </si>
  <si>
    <t>Maria Perez</t>
  </si>
  <si>
    <t>Debra Walker</t>
  </si>
  <si>
    <t>Patrick Gonzalez</t>
  </si>
  <si>
    <t>Scott Rivera</t>
  </si>
  <si>
    <t>Andrew Davis</t>
  </si>
  <si>
    <t>Debra Adams</t>
  </si>
  <si>
    <t>Jessica Baker</t>
  </si>
  <si>
    <t>Kathleen Jackson</t>
  </si>
  <si>
    <t>Shirley Lewis</t>
  </si>
  <si>
    <t>Thomas Garcia</t>
  </si>
  <si>
    <t>Emily Wilson</t>
  </si>
  <si>
    <t>Steven White</t>
  </si>
  <si>
    <t>Ruth King</t>
  </si>
  <si>
    <t>Melissa Green</t>
  </si>
  <si>
    <t>Carolyn Anderson</t>
  </si>
  <si>
    <t>Melissa Adams</t>
  </si>
  <si>
    <t>Kevin Allen</t>
  </si>
  <si>
    <t>Paul Young</t>
  </si>
  <si>
    <t>Sharon Hill</t>
  </si>
  <si>
    <t>Charles Martinez</t>
  </si>
  <si>
    <t>Pamela Wilson</t>
  </si>
  <si>
    <t>Debra Baker</t>
  </si>
  <si>
    <t>Mary Young</t>
  </si>
  <si>
    <t>Joseph Taylor</t>
  </si>
  <si>
    <t>Edward Sanchez</t>
  </si>
  <si>
    <t>Kimberly Perez</t>
  </si>
  <si>
    <t>Christine Jackson</t>
  </si>
  <si>
    <t>Nicholas Wilson</t>
  </si>
  <si>
    <t>Ryan Hernandez</t>
  </si>
  <si>
    <t>Timothy Ramirez</t>
  </si>
  <si>
    <t>Mark Rodriguez</t>
  </si>
  <si>
    <t>Maria Torres</t>
  </si>
  <si>
    <t>Catherine Hall</t>
  </si>
  <si>
    <t>Rebecca Nelson</t>
  </si>
  <si>
    <t>Patrick Davis</t>
  </si>
  <si>
    <t>Jessica Smith</t>
  </si>
  <si>
    <t>Samuel Flores</t>
  </si>
  <si>
    <t>Edward Smith</t>
  </si>
  <si>
    <t>Brian Martinez</t>
  </si>
  <si>
    <t>George Wright</t>
  </si>
  <si>
    <t>Edward Baker</t>
  </si>
  <si>
    <t>Jennifer Perez</t>
  </si>
  <si>
    <t>Thomas Adams</t>
  </si>
  <si>
    <t>Barbara Nelson</t>
  </si>
  <si>
    <t>Steven Green</t>
  </si>
  <si>
    <t>Andrew Garcia</t>
  </si>
  <si>
    <t>Mark Baker</t>
  </si>
  <si>
    <t>Janet Roberts</t>
  </si>
  <si>
    <t>Amy Campbell</t>
  </si>
  <si>
    <t>Timothy Carter</t>
  </si>
  <si>
    <t>Ruth Davis</t>
  </si>
  <si>
    <t>Ryan Carter</t>
  </si>
  <si>
    <t>Brandon Mitchell</t>
  </si>
  <si>
    <t>Gary Wilson</t>
  </si>
  <si>
    <t>Christine Adams</t>
  </si>
  <si>
    <t>Emma Harris</t>
  </si>
  <si>
    <t>Helen Davis</t>
  </si>
  <si>
    <t>Stephanie Nelson</t>
  </si>
  <si>
    <t>Steven King</t>
  </si>
  <si>
    <t>Nicole Ramirez</t>
  </si>
  <si>
    <t>Jonathan Hill</t>
  </si>
  <si>
    <t>Ruth Roberts</t>
  </si>
  <si>
    <t>Amy Walker</t>
  </si>
  <si>
    <t>Brandon Hall</t>
  </si>
  <si>
    <t>Amanda Gonzalez</t>
  </si>
  <si>
    <t>Thomas Roberts</t>
  </si>
  <si>
    <t>Anthony Allen</t>
  </si>
  <si>
    <t>Maria Rodriguez</t>
  </si>
  <si>
    <t>Timothy Walker</t>
  </si>
  <si>
    <t>Maria Thomas</t>
  </si>
  <si>
    <t>Daniel Wright</t>
  </si>
  <si>
    <t>Richard Jones</t>
  </si>
  <si>
    <t>Brian Lee</t>
  </si>
  <si>
    <t>Amanda Roberts</t>
  </si>
  <si>
    <t>Charles Perez</t>
  </si>
  <si>
    <t>Ronald Thompson</t>
  </si>
  <si>
    <t>Charles Garcia</t>
  </si>
  <si>
    <t>Jennifer Garcia</t>
  </si>
  <si>
    <t>Stephen Young</t>
  </si>
  <si>
    <t>Sandra Taylor</t>
  </si>
  <si>
    <t>Kevin Campbell</t>
  </si>
  <si>
    <t>Jonathan Campbell</t>
  </si>
  <si>
    <t>Emma Williams</t>
  </si>
  <si>
    <t>Richard Harris</t>
  </si>
  <si>
    <t>Carolyn Taylor</t>
  </si>
  <si>
    <t>Jennifer Green</t>
  </si>
  <si>
    <t>Janet Martinez</t>
  </si>
  <si>
    <t>Brian Flores</t>
  </si>
  <si>
    <t>Brandon Miller</t>
  </si>
  <si>
    <t>Gary Williams</t>
  </si>
  <si>
    <t>Donna Thompson</t>
  </si>
  <si>
    <t>George Martinez</t>
  </si>
  <si>
    <t>Emily Thomas</t>
  </si>
  <si>
    <t>Christopher Allen</t>
  </si>
  <si>
    <t>Heather Perez</t>
  </si>
  <si>
    <t>Stephen Lee</t>
  </si>
  <si>
    <t>James Lee</t>
  </si>
  <si>
    <t>Eric Lopez</t>
  </si>
  <si>
    <t>Deborah Lopez</t>
  </si>
  <si>
    <t>Andrew Rodriguez</t>
  </si>
  <si>
    <t>Amanda Davis</t>
  </si>
  <si>
    <t>Laura Davis</t>
  </si>
  <si>
    <t>Nancy Martin</t>
  </si>
  <si>
    <t>Frank Rivera</t>
  </si>
  <si>
    <t>Ronald Scott</t>
  </si>
  <si>
    <t>Katherine King</t>
  </si>
  <si>
    <t>David Thomas</t>
  </si>
  <si>
    <t>Justin Jackson</t>
  </si>
  <si>
    <t>Carolyn Moore</t>
  </si>
  <si>
    <t>Raymond Flores</t>
  </si>
  <si>
    <t>James Rodriguez</t>
  </si>
  <si>
    <t>Susan Harris</t>
  </si>
  <si>
    <t>Richard Roberts</t>
  </si>
  <si>
    <t>Jerry Brown</t>
  </si>
  <si>
    <t>Dennis Clark</t>
  </si>
  <si>
    <t>Katherine Lopez</t>
  </si>
  <si>
    <t>Mary Nguyen</t>
  </si>
  <si>
    <t>Donna Carter</t>
  </si>
  <si>
    <t>Pamela Ramirez</t>
  </si>
  <si>
    <t>Christine Baker</t>
  </si>
  <si>
    <t>Ronald Lee</t>
  </si>
  <si>
    <t>Eric Mitchell</t>
  </si>
  <si>
    <t>David Lee</t>
  </si>
  <si>
    <t>Cynthia Carter</t>
  </si>
  <si>
    <t>Justin Allen</t>
  </si>
  <si>
    <t>Eric Thompson</t>
  </si>
  <si>
    <t>Helen Adams</t>
  </si>
  <si>
    <t>Mark Thomas</t>
  </si>
  <si>
    <t>Melissa Hill</t>
  </si>
  <si>
    <t>Pamela Adams</t>
  </si>
  <si>
    <t>Carol Torres</t>
  </si>
  <si>
    <t>Kenneth Gonzalez</t>
  </si>
  <si>
    <t>Jerry Torres</t>
  </si>
  <si>
    <t>Frank Garcia</t>
  </si>
  <si>
    <t>Kathleen Thomas</t>
  </si>
  <si>
    <t>Patricia Nguyen</t>
  </si>
  <si>
    <t>Frank Campbell</t>
  </si>
  <si>
    <t>Joseph Torres</t>
  </si>
  <si>
    <t>Donna Campbell</t>
  </si>
  <si>
    <t>Rachel Garcia</t>
  </si>
  <si>
    <t>Alexander Lopez</t>
  </si>
  <si>
    <t>Anthony Wright</t>
  </si>
  <si>
    <t>Benjamin Adams</t>
  </si>
  <si>
    <t>Christine Wright</t>
  </si>
  <si>
    <t>Shirley Hernandez</t>
  </si>
  <si>
    <t>Jonathan Brown</t>
  </si>
  <si>
    <t>John Green</t>
  </si>
  <si>
    <t>Linda Nelson</t>
  </si>
  <si>
    <t>Robert Flores</t>
  </si>
  <si>
    <t>Jeffrey Hernandez</t>
  </si>
  <si>
    <t>Larry Robinson</t>
  </si>
  <si>
    <t>John Smith</t>
  </si>
  <si>
    <t>Timothy Roberts</t>
  </si>
  <si>
    <t>Rachel Lee</t>
  </si>
  <si>
    <t>Janet Young</t>
  </si>
  <si>
    <t>Stephanie Carter</t>
  </si>
  <si>
    <t>Daniel Walker</t>
  </si>
  <si>
    <t>Nicholas Wright</t>
  </si>
  <si>
    <t>Gregory Thomas</t>
  </si>
  <si>
    <t>Christopher Moore</t>
  </si>
  <si>
    <t>William Smith</t>
  </si>
  <si>
    <t>James Wright</t>
  </si>
  <si>
    <t>Emily Lewis</t>
  </si>
  <si>
    <t>Carol Scott</t>
  </si>
  <si>
    <t>Debra Hill</t>
  </si>
  <si>
    <t>Melissa Harris</t>
  </si>
  <si>
    <t>Jacob Thompson</t>
  </si>
  <si>
    <t>Rachel Lewis</t>
  </si>
  <si>
    <t>Barbara Lopez</t>
  </si>
  <si>
    <t>Daniel Lewis</t>
  </si>
  <si>
    <t>Andrew Williams</t>
  </si>
  <si>
    <t>Janet Flores</t>
  </si>
  <si>
    <t>Jason Nelson</t>
  </si>
  <si>
    <t>Raymond Moore</t>
  </si>
  <si>
    <t>Thomas Davis</t>
  </si>
  <si>
    <t>Jeffrey Jones</t>
  </si>
  <si>
    <t>George Brown</t>
  </si>
  <si>
    <t>Rachel Campbell</t>
  </si>
  <si>
    <t>Mark Hall</t>
  </si>
  <si>
    <t>Andrew Young</t>
  </si>
  <si>
    <t>Edward Green</t>
  </si>
  <si>
    <t>Nancy Smith</t>
  </si>
  <si>
    <t>Mark Davis</t>
  </si>
  <si>
    <t>Amanda Clark</t>
  </si>
  <si>
    <t>Jennifer Gonzalez</t>
  </si>
  <si>
    <t>Angela Perez</t>
  </si>
  <si>
    <t>Catherine Roberts</t>
  </si>
  <si>
    <t>Catherine Perez</t>
  </si>
  <si>
    <t>Donna Sanchez</t>
  </si>
  <si>
    <t>Jonathan Robinson</t>
  </si>
  <si>
    <t>Daniel Allen</t>
  </si>
  <si>
    <t>Shirley Thompson</t>
  </si>
  <si>
    <t>Jerry Hernandez</t>
  </si>
  <si>
    <t>Emma Scott</t>
  </si>
  <si>
    <t>Kimberly Hill</t>
  </si>
  <si>
    <t>Benjamin Jones</t>
  </si>
  <si>
    <t>Lisa Smith</t>
  </si>
  <si>
    <t>Samuel Martinez</t>
  </si>
  <si>
    <t>Michael Moore</t>
  </si>
  <si>
    <t>Robert Anderson</t>
  </si>
  <si>
    <t>George Williams</t>
  </si>
  <si>
    <t>Ashley Rodriguez</t>
  </si>
  <si>
    <t>Emma Lewis</t>
  </si>
  <si>
    <t>Carol Clark</t>
  </si>
  <si>
    <t>Charles Lee</t>
  </si>
  <si>
    <t>Patrick Thomas</t>
  </si>
  <si>
    <t>Melissa King</t>
  </si>
  <si>
    <t>Nicholas Johnson</t>
  </si>
  <si>
    <t>Matthew Flores</t>
  </si>
  <si>
    <t>Ryan Torres</t>
  </si>
  <si>
    <t>Kevin Mitchell</t>
  </si>
  <si>
    <t>Frank Baker</t>
  </si>
  <si>
    <t>Mary Lee</t>
  </si>
  <si>
    <t>Larry White</t>
  </si>
  <si>
    <t>George Ramirez</t>
  </si>
  <si>
    <t>Emily Anderson</t>
  </si>
  <si>
    <t>Daniel Sanchez</t>
  </si>
  <si>
    <t>Amy Sanchez</t>
  </si>
  <si>
    <t>Donald Nelson</t>
  </si>
  <si>
    <t>Scott Campbell</t>
  </si>
  <si>
    <t>Rachel Hill</t>
  </si>
  <si>
    <t>Kathleen Harris</t>
  </si>
  <si>
    <t>Frank Ramirez</t>
  </si>
  <si>
    <t>Robert Jackson</t>
  </si>
  <si>
    <t>Sarah Moore</t>
  </si>
  <si>
    <t>John Sanchez</t>
  </si>
  <si>
    <t>Janet Lopez</t>
  </si>
  <si>
    <t>Ruth Brown</t>
  </si>
  <si>
    <t>Donald Wilson</t>
  </si>
  <si>
    <t>Anna Flores</t>
  </si>
  <si>
    <t>Gary Smith</t>
  </si>
  <si>
    <t>Samantha Torres</t>
  </si>
  <si>
    <t>Brian Wilson</t>
  </si>
  <si>
    <t>Dennis Allen</t>
  </si>
  <si>
    <t>Jason Lopez</t>
  </si>
  <si>
    <t>Angela Allen</t>
  </si>
  <si>
    <t>Michael Carter</t>
  </si>
  <si>
    <t>Patricia Hill</t>
  </si>
  <si>
    <t>Row Labels</t>
  </si>
  <si>
    <t>Count of EmployeeName</t>
  </si>
  <si>
    <t>Column Labels</t>
  </si>
  <si>
    <t>Total Employee</t>
  </si>
  <si>
    <t>Grand Total</t>
  </si>
  <si>
    <t>25-34</t>
  </si>
  <si>
    <t>35-44</t>
  </si>
  <si>
    <t>45-54</t>
  </si>
  <si>
    <t>55+</t>
  </si>
  <si>
    <t>Avg YearsAtCompany</t>
  </si>
  <si>
    <t>under 25</t>
  </si>
  <si>
    <t>Average of YearsAtCompany</t>
  </si>
  <si>
    <t>Left Employee</t>
  </si>
  <si>
    <t>Total Emp</t>
  </si>
  <si>
    <t>Avg Years</t>
  </si>
  <si>
    <t xml:space="preserve"> Left Emp</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</si>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</sst>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2" borderId="0" xfId="0" applyFont="1" applyFill="1"/>
    <xf numFmtId="0" fontId="0" fillId="0" borderId="0" xfId="0" applyAlignment="1">
      <alignment horizontal="left"/>
    </xf>
    <xf numFmtId="0" fontId="0" fillId="0" borderId="1" xfId="0" applyBorder="1"/>
    <xf numFmtId="9" fontId="0" fillId="0" borderId="0" xfId="0" applyNumberFormat="1"/>
    <xf numFmtId="9" fontId="0" fillId="0" borderId="0" xfId="1" applyFont="1"/>
    <xf numFmtId="0" fontId="0" fillId="0" borderId="0" xfId="0" pivotButton="1"/>
    <xf numFmtId="0" fontId="0" fillId="0" borderId="0" xfId="0" applyNumberFormat="1"/>
  </cellXfs>
  <cellStyles count="2">
    <cellStyle name="Normal" xfId="0" builtinId="0"/>
    <cellStyle name="Percent" xfId="1" builtinId="5"/>
  </cellStyles>
  <dxfs count="2">
    <dxf>
      <font>
        <b/>
        <color theme="1"/>
      </font>
      <border>
        <bottom style="thin">
          <color theme="4"/>
        </bottom>
        <vertical/>
        <horizontal/>
      </border>
    </dxf>
    <dxf>
      <font>
        <color theme="1"/>
      </font>
      <fill>
        <patternFill>
          <bgColor theme="4" tint="0.3999450666829432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5F1786CA-8E3C-4507-91E9-84842B8B1849}">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 HR Dashboard.xlsx]Pivot Table!PivotTable30</c:name>
    <c:fmtId val="4"/>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b="1" i="1">
                <a:solidFill>
                  <a:schemeClr val="tx1"/>
                </a:solidFill>
              </a:rPr>
              <a:t>Employee Status</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Table'!$F$1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1BC5-41A4-8C4D-4335201149D5}"/>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1BC5-41A4-8C4D-4335201149D5}"/>
              </c:ext>
            </c:extLst>
          </c:dPt>
          <c:cat>
            <c:strRef>
              <c:f>'Pivot Table'!$E$2:$E$4</c:f>
              <c:strCache>
                <c:ptCount val="2"/>
                <c:pt idx="0">
                  <c:v>Active</c:v>
                </c:pt>
                <c:pt idx="1">
                  <c:v>Left</c:v>
                </c:pt>
              </c:strCache>
            </c:strRef>
          </c:cat>
          <c:val>
            <c:numRef>
              <c:f>'Pivot Table'!$F$2:$F$4</c:f>
              <c:numCache>
                <c:formatCode>General</c:formatCode>
                <c:ptCount val="2"/>
                <c:pt idx="0">
                  <c:v>256</c:v>
                </c:pt>
                <c:pt idx="1">
                  <c:v>64</c:v>
                </c:pt>
              </c:numCache>
            </c:numRef>
          </c:val>
          <c:extLst>
            <c:ext xmlns:c16="http://schemas.microsoft.com/office/drawing/2014/chart" uri="{C3380CC4-5D6E-409C-BE32-E72D297353CC}">
              <c16:uniqueId val="{00000004-1BC5-41A4-8C4D-4335201149D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Table!PivotTable29</c:name>
    <c:fmtId val="4"/>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b="1" i="1">
                <a:solidFill>
                  <a:schemeClr val="tx1"/>
                </a:solidFill>
              </a:rPr>
              <a:t>Department-Wise Employees</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c:f>
              <c:strCache>
                <c:ptCount val="1"/>
                <c:pt idx="0">
                  <c:v>Total</c:v>
                </c:pt>
              </c:strCache>
            </c:strRef>
          </c:tx>
          <c:spPr>
            <a:solidFill>
              <a:schemeClr val="accent1"/>
            </a:solidFill>
            <a:ln>
              <a:noFill/>
            </a:ln>
            <a:effectLst/>
          </c:spPr>
          <c:invertIfNegative val="0"/>
          <c:cat>
            <c:strRef>
              <c:f>'Pivot Table'!$J$2:$J$5</c:f>
              <c:strCache>
                <c:ptCount val="3"/>
                <c:pt idx="0">
                  <c:v>Human Resources</c:v>
                </c:pt>
                <c:pt idx="1">
                  <c:v>Research &amp; Development</c:v>
                </c:pt>
                <c:pt idx="2">
                  <c:v>Sales</c:v>
                </c:pt>
              </c:strCache>
            </c:strRef>
          </c:cat>
          <c:val>
            <c:numRef>
              <c:f>'Pivot Table'!$K$2:$K$5</c:f>
              <c:numCache>
                <c:formatCode>General</c:formatCode>
                <c:ptCount val="3"/>
                <c:pt idx="0">
                  <c:v>9</c:v>
                </c:pt>
                <c:pt idx="1">
                  <c:v>200</c:v>
                </c:pt>
                <c:pt idx="2">
                  <c:v>111</c:v>
                </c:pt>
              </c:numCache>
            </c:numRef>
          </c:val>
          <c:extLst>
            <c:ext xmlns:c16="http://schemas.microsoft.com/office/drawing/2014/chart" uri="{C3380CC4-5D6E-409C-BE32-E72D297353CC}">
              <c16:uniqueId val="{00000000-9FC6-4CC3-B5BD-FA1BE840E9E4}"/>
            </c:ext>
          </c:extLst>
        </c:ser>
        <c:dLbls>
          <c:showLegendKey val="0"/>
          <c:showVal val="0"/>
          <c:showCatName val="0"/>
          <c:showSerName val="0"/>
          <c:showPercent val="0"/>
          <c:showBubbleSize val="0"/>
        </c:dLbls>
        <c:gapWidth val="219"/>
        <c:overlap val="-27"/>
        <c:axId val="233107232"/>
        <c:axId val="233105568"/>
      </c:barChart>
      <c:catAx>
        <c:axId val="23310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3105568"/>
        <c:crosses val="autoZero"/>
        <c:auto val="1"/>
        <c:lblAlgn val="ctr"/>
        <c:lblOffset val="100"/>
        <c:noMultiLvlLbl val="0"/>
      </c:catAx>
      <c:valAx>
        <c:axId val="23310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310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 HR Dashboard.xlsx]Pivot Table!PivotTable28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Department-Wise</a:t>
            </a:r>
            <a:r>
              <a:rPr lang="en-US" b="1" i="1" baseline="0">
                <a:solidFill>
                  <a:schemeClr val="tx1"/>
                </a:solidFill>
              </a:rPr>
              <a:t> Attrition</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Table'!$P$1:$P$2</c:f>
              <c:strCache>
                <c:ptCount val="1"/>
                <c:pt idx="0">
                  <c:v>Active</c:v>
                </c:pt>
              </c:strCache>
            </c:strRef>
          </c:tx>
          <c:spPr>
            <a:solidFill>
              <a:schemeClr val="accent1">
                <a:shade val="76000"/>
              </a:schemeClr>
            </a:solidFill>
            <a:ln>
              <a:noFill/>
            </a:ln>
            <a:effectLst/>
          </c:spPr>
          <c:invertIfNegative val="0"/>
          <c:cat>
            <c:strRef>
              <c:f>'Pivot Table'!$O$3:$O$6</c:f>
              <c:strCache>
                <c:ptCount val="3"/>
                <c:pt idx="0">
                  <c:v>Human Resources</c:v>
                </c:pt>
                <c:pt idx="1">
                  <c:v>Research &amp; Development</c:v>
                </c:pt>
                <c:pt idx="2">
                  <c:v>Sales</c:v>
                </c:pt>
              </c:strCache>
            </c:strRef>
          </c:cat>
          <c:val>
            <c:numRef>
              <c:f>'Pivot Table'!$P$3:$P$6</c:f>
              <c:numCache>
                <c:formatCode>General</c:formatCode>
                <c:ptCount val="3"/>
                <c:pt idx="0">
                  <c:v>7</c:v>
                </c:pt>
                <c:pt idx="1">
                  <c:v>160</c:v>
                </c:pt>
                <c:pt idx="2">
                  <c:v>89</c:v>
                </c:pt>
              </c:numCache>
            </c:numRef>
          </c:val>
          <c:extLst>
            <c:ext xmlns:c16="http://schemas.microsoft.com/office/drawing/2014/chart" uri="{C3380CC4-5D6E-409C-BE32-E72D297353CC}">
              <c16:uniqueId val="{00000000-630D-443A-BAC4-A0FDA63C562E}"/>
            </c:ext>
          </c:extLst>
        </c:ser>
        <c:ser>
          <c:idx val="1"/>
          <c:order val="1"/>
          <c:tx>
            <c:strRef>
              <c:f>'Pivot Table'!$Q$1:$Q$2</c:f>
              <c:strCache>
                <c:ptCount val="1"/>
                <c:pt idx="0">
                  <c:v>Left</c:v>
                </c:pt>
              </c:strCache>
            </c:strRef>
          </c:tx>
          <c:spPr>
            <a:solidFill>
              <a:schemeClr val="accent1">
                <a:tint val="77000"/>
              </a:schemeClr>
            </a:solidFill>
            <a:ln>
              <a:noFill/>
            </a:ln>
            <a:effectLst/>
          </c:spPr>
          <c:invertIfNegative val="0"/>
          <c:cat>
            <c:strRef>
              <c:f>'Pivot Table'!$O$3:$O$6</c:f>
              <c:strCache>
                <c:ptCount val="3"/>
                <c:pt idx="0">
                  <c:v>Human Resources</c:v>
                </c:pt>
                <c:pt idx="1">
                  <c:v>Research &amp; Development</c:v>
                </c:pt>
                <c:pt idx="2">
                  <c:v>Sales</c:v>
                </c:pt>
              </c:strCache>
            </c:strRef>
          </c:cat>
          <c:val>
            <c:numRef>
              <c:f>'Pivot Table'!$Q$3:$Q$6</c:f>
              <c:numCache>
                <c:formatCode>General</c:formatCode>
                <c:ptCount val="3"/>
                <c:pt idx="0">
                  <c:v>2</c:v>
                </c:pt>
                <c:pt idx="1">
                  <c:v>40</c:v>
                </c:pt>
                <c:pt idx="2">
                  <c:v>22</c:v>
                </c:pt>
              </c:numCache>
            </c:numRef>
          </c:val>
          <c:extLst>
            <c:ext xmlns:c16="http://schemas.microsoft.com/office/drawing/2014/chart" uri="{C3380CC4-5D6E-409C-BE32-E72D297353CC}">
              <c16:uniqueId val="{00000001-630D-443A-BAC4-A0FDA63C562E}"/>
            </c:ext>
          </c:extLst>
        </c:ser>
        <c:dLbls>
          <c:showLegendKey val="0"/>
          <c:showVal val="0"/>
          <c:showCatName val="0"/>
          <c:showSerName val="0"/>
          <c:showPercent val="0"/>
          <c:showBubbleSize val="0"/>
        </c:dLbls>
        <c:gapWidth val="150"/>
        <c:overlap val="100"/>
        <c:axId val="229174320"/>
        <c:axId val="229175568"/>
      </c:barChart>
      <c:catAx>
        <c:axId val="22917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9175568"/>
        <c:crosses val="autoZero"/>
        <c:auto val="1"/>
        <c:lblAlgn val="ctr"/>
        <c:lblOffset val="100"/>
        <c:noMultiLvlLbl val="0"/>
      </c:catAx>
      <c:valAx>
        <c:axId val="22917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9174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Table!PivotTable27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Age</a:t>
            </a:r>
            <a:r>
              <a:rPr lang="en-US" b="1" i="1" baseline="0">
                <a:solidFill>
                  <a:schemeClr val="tx1"/>
                </a:solidFill>
              </a:rPr>
              <a:t> Group Distribution</a:t>
            </a:r>
            <a:endParaRPr lang="en-US" b="1" i="1">
              <a:solidFill>
                <a:schemeClr val="tx1"/>
              </a:solidFill>
            </a:endParaRPr>
          </a:p>
        </c:rich>
      </c:tx>
      <c:layout>
        <c:manualLayout>
          <c:xMode val="edge"/>
          <c:yMode val="edge"/>
          <c:x val="0.3073055555555555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Table'!$X$1</c:f>
              <c:strCache>
                <c:ptCount val="1"/>
                <c:pt idx="0">
                  <c:v>Total</c:v>
                </c:pt>
              </c:strCache>
            </c:strRef>
          </c:tx>
          <c:spPr>
            <a:ln w="28575" cap="rnd">
              <a:solidFill>
                <a:schemeClr val="accent1"/>
              </a:solidFill>
              <a:round/>
            </a:ln>
            <a:effectLst/>
          </c:spPr>
          <c:marker>
            <c:symbol val="none"/>
          </c:marker>
          <c:cat>
            <c:strRef>
              <c:f>'Pivot Table'!$W$2:$W$7</c:f>
              <c:strCache>
                <c:ptCount val="5"/>
                <c:pt idx="0">
                  <c:v>25-34</c:v>
                </c:pt>
                <c:pt idx="1">
                  <c:v>35-44</c:v>
                </c:pt>
                <c:pt idx="2">
                  <c:v>45-54</c:v>
                </c:pt>
                <c:pt idx="3">
                  <c:v>55+</c:v>
                </c:pt>
                <c:pt idx="4">
                  <c:v>under 25</c:v>
                </c:pt>
              </c:strCache>
            </c:strRef>
          </c:cat>
          <c:val>
            <c:numRef>
              <c:f>'Pivot Table'!$X$2:$X$7</c:f>
              <c:numCache>
                <c:formatCode>General</c:formatCode>
                <c:ptCount val="5"/>
                <c:pt idx="0">
                  <c:v>100</c:v>
                </c:pt>
                <c:pt idx="1">
                  <c:v>136</c:v>
                </c:pt>
                <c:pt idx="2">
                  <c:v>45</c:v>
                </c:pt>
                <c:pt idx="3">
                  <c:v>7</c:v>
                </c:pt>
                <c:pt idx="4">
                  <c:v>32</c:v>
                </c:pt>
              </c:numCache>
            </c:numRef>
          </c:val>
          <c:smooth val="0"/>
          <c:extLst>
            <c:ext xmlns:c16="http://schemas.microsoft.com/office/drawing/2014/chart" uri="{C3380CC4-5D6E-409C-BE32-E72D297353CC}">
              <c16:uniqueId val="{00000000-655A-413D-8B2D-531217F53999}"/>
            </c:ext>
          </c:extLst>
        </c:ser>
        <c:dLbls>
          <c:showLegendKey val="0"/>
          <c:showVal val="0"/>
          <c:showCatName val="0"/>
          <c:showSerName val="0"/>
          <c:showPercent val="0"/>
          <c:showBubbleSize val="0"/>
        </c:dLbls>
        <c:smooth val="0"/>
        <c:axId val="568778736"/>
        <c:axId val="568775824"/>
      </c:lineChart>
      <c:catAx>
        <c:axId val="5687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8775824"/>
        <c:crosses val="autoZero"/>
        <c:auto val="1"/>
        <c:lblAlgn val="ctr"/>
        <c:lblOffset val="100"/>
        <c:noMultiLvlLbl val="0"/>
      </c:catAx>
      <c:valAx>
        <c:axId val="56877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877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Table!PivotTable25</c:name>
    <c:fmtId val="20"/>
  </c:pivotSource>
  <c:chart>
    <c:title>
      <c:tx>
        <c:rich>
          <a:bodyPr rot="0" spcFirstLastPara="1" vertOverflow="ellipsis" vert="horz" wrap="square" anchor="ctr" anchorCtr="1"/>
          <a:lstStyle/>
          <a:p>
            <a:pPr>
              <a:defRPr sz="1800" b="1" i="1" u="none" strike="noStrike" kern="1200" cap="all" spc="150" baseline="0">
                <a:solidFill>
                  <a:schemeClr val="tx1"/>
                </a:solidFill>
                <a:latin typeface="+mn-lt"/>
                <a:ea typeface="+mn-ea"/>
                <a:cs typeface="+mn-cs"/>
              </a:defRPr>
            </a:pPr>
            <a:r>
              <a:rPr lang="en-US" i="1">
                <a:solidFill>
                  <a:schemeClr val="tx1"/>
                </a:solidFill>
              </a:rPr>
              <a:t>Job Satisfaction Distribution</a:t>
            </a:r>
          </a:p>
        </c:rich>
      </c:tx>
      <c:overlay val="0"/>
      <c:spPr>
        <a:noFill/>
        <a:ln>
          <a:noFill/>
        </a:ln>
        <a:effectLst/>
      </c:spPr>
      <c:txPr>
        <a:bodyPr rot="0" spcFirstLastPara="1" vertOverflow="ellipsis" vert="horz" wrap="square" anchor="ctr" anchorCtr="1"/>
        <a:lstStyle/>
        <a:p>
          <a:pPr>
            <a:defRPr sz="1800" b="1" i="1" u="none" strike="noStrike" kern="1200" cap="all" spc="1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Table'!$AH$1</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Table'!$AG$2:$AG$6</c:f>
              <c:strCache>
                <c:ptCount val="4"/>
                <c:pt idx="0">
                  <c:v>1</c:v>
                </c:pt>
                <c:pt idx="1">
                  <c:v>2</c:v>
                </c:pt>
                <c:pt idx="2">
                  <c:v>3</c:v>
                </c:pt>
                <c:pt idx="3">
                  <c:v>4</c:v>
                </c:pt>
              </c:strCache>
            </c:strRef>
          </c:cat>
          <c:val>
            <c:numRef>
              <c:f>'Pivot Table'!$AH$2:$AH$6</c:f>
              <c:numCache>
                <c:formatCode>General</c:formatCode>
                <c:ptCount val="4"/>
                <c:pt idx="0">
                  <c:v>57</c:v>
                </c:pt>
                <c:pt idx="1">
                  <c:v>54</c:v>
                </c:pt>
                <c:pt idx="2">
                  <c:v>99</c:v>
                </c:pt>
                <c:pt idx="3">
                  <c:v>110</c:v>
                </c:pt>
              </c:numCache>
            </c:numRef>
          </c:val>
          <c:smooth val="0"/>
          <c:extLst>
            <c:ext xmlns:c16="http://schemas.microsoft.com/office/drawing/2014/chart" uri="{C3380CC4-5D6E-409C-BE32-E72D297353CC}">
              <c16:uniqueId val="{00000000-32CB-491C-BD32-70A073598C14}"/>
            </c:ext>
          </c:extLst>
        </c:ser>
        <c:dLbls>
          <c:showLegendKey val="0"/>
          <c:showVal val="0"/>
          <c:showCatName val="0"/>
          <c:showSerName val="0"/>
          <c:showPercent val="0"/>
          <c:showBubbleSize val="0"/>
        </c:dLbls>
        <c:marker val="1"/>
        <c:smooth val="0"/>
        <c:axId val="34410784"/>
        <c:axId val="34407456"/>
      </c:lineChart>
      <c:catAx>
        <c:axId val="3441078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07456"/>
        <c:crosses val="autoZero"/>
        <c:auto val="1"/>
        <c:lblAlgn val="ctr"/>
        <c:lblOffset val="100"/>
        <c:noMultiLvlLbl val="0"/>
      </c:catAx>
      <c:valAx>
        <c:axId val="34407456"/>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1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_xlchart.v1.22</cx:f>
      </cx:strDim>
      <cx:numDim type="size">
        <cx:f>_xlchart.v1.23</cx:f>
      </cx:numDim>
    </cx:data>
  </cx:chartData>
  <cx:chart>
    <cx:title pos="t" align="ctr" overlay="0">
      <cx:tx>
        <cx:txData>
          <cx:v>Job Role Distribution</cx:v>
        </cx:txData>
      </cx:tx>
      <cx:txPr>
        <a:bodyPr spcFirstLastPara="1" vertOverflow="ellipsis" horzOverflow="overflow" wrap="square" lIns="0" tIns="0" rIns="0" bIns="0" anchor="ctr" anchorCtr="1"/>
        <a:lstStyle/>
        <a:p>
          <a:pPr algn="ctr" rtl="0">
            <a:defRPr/>
          </a:pPr>
          <a:r>
            <a:rPr lang="en-US" sz="1400" b="1" i="1" u="none" strike="noStrike" baseline="0">
              <a:solidFill>
                <a:schemeClr val="tx1"/>
              </a:solidFill>
              <a:latin typeface="Calibri" panose="020F0502020204030204"/>
            </a:rPr>
            <a:t>Job Role Distribution</a:t>
          </a:r>
        </a:p>
      </cx:txPr>
    </cx:title>
    <cx:plotArea>
      <cx:plotAreaRegion>
        <cx:series layoutId="treemap" uniqueId="{3F723400-37E1-48C3-8B30-3C5F458FCB38}">
          <cx:dataLabels pos="inEnd">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microsoft.com/office/2014/relationships/chartEx" Target="../charts/chartEx1.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371566</xdr:colOff>
      <xdr:row>36</xdr:row>
      <xdr:rowOff>102870</xdr:rowOff>
    </xdr:to>
    <xdr:sp macro="" textlink="">
      <xdr:nvSpPr>
        <xdr:cNvPr id="2" name="Rectangle 1">
          <a:extLst>
            <a:ext uri="{FF2B5EF4-FFF2-40B4-BE49-F238E27FC236}">
              <a16:creationId xmlns:a16="http://schemas.microsoft.com/office/drawing/2014/main" id="{B3E3001A-3C84-4416-86B6-6A890F2D1E31}"/>
            </a:ext>
          </a:extLst>
        </xdr:cNvPr>
        <xdr:cNvSpPr/>
      </xdr:nvSpPr>
      <xdr:spPr>
        <a:xfrm>
          <a:off x="0" y="0"/>
          <a:ext cx="12648233" cy="6579870"/>
        </a:xfrm>
        <a:prstGeom prst="rect">
          <a:avLst/>
        </a:prstGeom>
        <a:gradFill flip="none" rotWithShape="1">
          <a:gsLst>
            <a:gs pos="0">
              <a:schemeClr val="accent1">
                <a:lumMod val="75000"/>
              </a:schemeClr>
            </a:gs>
            <a:gs pos="50000">
              <a:schemeClr val="accent1">
                <a:shade val="67500"/>
                <a:satMod val="115000"/>
              </a:schemeClr>
            </a:gs>
            <a:gs pos="100000">
              <a:schemeClr val="accent1">
                <a:shade val="100000"/>
                <a:satMod val="11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183425</xdr:colOff>
      <xdr:row>1</xdr:row>
      <xdr:rowOff>0</xdr:rowOff>
    </xdr:from>
    <xdr:to>
      <xdr:col>12</xdr:col>
      <xdr:colOff>68036</xdr:colOff>
      <xdr:row>5</xdr:row>
      <xdr:rowOff>133822</xdr:rowOff>
    </xdr:to>
    <xdr:sp macro="" textlink="">
      <xdr:nvSpPr>
        <xdr:cNvPr id="5" name="Rectangle: Rounded Corners 4">
          <a:extLst>
            <a:ext uri="{FF2B5EF4-FFF2-40B4-BE49-F238E27FC236}">
              <a16:creationId xmlns:a16="http://schemas.microsoft.com/office/drawing/2014/main" id="{F469B95E-2665-4B68-A58B-43D19F1F9658}"/>
            </a:ext>
          </a:extLst>
        </xdr:cNvPr>
        <xdr:cNvSpPr/>
      </xdr:nvSpPr>
      <xdr:spPr>
        <a:xfrm>
          <a:off x="183425" y="179917"/>
          <a:ext cx="7250611" cy="853488"/>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6</xdr:row>
      <xdr:rowOff>136144</xdr:rowOff>
    </xdr:from>
    <xdr:to>
      <xdr:col>3</xdr:col>
      <xdr:colOff>387967</xdr:colOff>
      <xdr:row>13</xdr:row>
      <xdr:rowOff>0</xdr:rowOff>
    </xdr:to>
    <xdr:sp macro="" textlink="">
      <xdr:nvSpPr>
        <xdr:cNvPr id="6" name="Rectangle: Rounded Corners 5">
          <a:extLst>
            <a:ext uri="{FF2B5EF4-FFF2-40B4-BE49-F238E27FC236}">
              <a16:creationId xmlns:a16="http://schemas.microsoft.com/office/drawing/2014/main" id="{63589863-132C-406F-87AD-D076C2D1D616}"/>
            </a:ext>
          </a:extLst>
        </xdr:cNvPr>
        <xdr:cNvSpPr/>
      </xdr:nvSpPr>
      <xdr:spPr>
        <a:xfrm>
          <a:off x="190500" y="1224715"/>
          <a:ext cx="2020824" cy="1133856"/>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217278</xdr:colOff>
      <xdr:row>1</xdr:row>
      <xdr:rowOff>11030</xdr:rowOff>
    </xdr:from>
    <xdr:to>
      <xdr:col>16</xdr:col>
      <xdr:colOff>127000</xdr:colOff>
      <xdr:row>6</xdr:row>
      <xdr:rowOff>0</xdr:rowOff>
    </xdr:to>
    <xdr:sp macro="" textlink="">
      <xdr:nvSpPr>
        <xdr:cNvPr id="7" name="Rectangle: Rounded Corners 6">
          <a:extLst>
            <a:ext uri="{FF2B5EF4-FFF2-40B4-BE49-F238E27FC236}">
              <a16:creationId xmlns:a16="http://schemas.microsoft.com/office/drawing/2014/main" id="{1927AE37-38C1-4D15-9CEA-68D5B8D565A0}"/>
            </a:ext>
          </a:extLst>
        </xdr:cNvPr>
        <xdr:cNvSpPr/>
      </xdr:nvSpPr>
      <xdr:spPr>
        <a:xfrm>
          <a:off x="7510707" y="192459"/>
          <a:ext cx="2340864" cy="896112"/>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281214</xdr:colOff>
      <xdr:row>1</xdr:row>
      <xdr:rowOff>0</xdr:rowOff>
    </xdr:from>
    <xdr:to>
      <xdr:col>20</xdr:col>
      <xdr:colOff>190935</xdr:colOff>
      <xdr:row>5</xdr:row>
      <xdr:rowOff>170398</xdr:rowOff>
    </xdr:to>
    <xdr:sp macro="" textlink="">
      <xdr:nvSpPr>
        <xdr:cNvPr id="8" name="Rectangle: Rounded Corners 7">
          <a:extLst>
            <a:ext uri="{FF2B5EF4-FFF2-40B4-BE49-F238E27FC236}">
              <a16:creationId xmlns:a16="http://schemas.microsoft.com/office/drawing/2014/main" id="{3560B242-E2BD-4749-A16C-E095DB3BF207}"/>
            </a:ext>
          </a:extLst>
        </xdr:cNvPr>
        <xdr:cNvSpPr/>
      </xdr:nvSpPr>
      <xdr:spPr>
        <a:xfrm>
          <a:off x="10005785" y="181429"/>
          <a:ext cx="2340864" cy="896112"/>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217714</xdr:colOff>
      <xdr:row>6</xdr:row>
      <xdr:rowOff>136144</xdr:rowOff>
    </xdr:from>
    <xdr:to>
      <xdr:col>14</xdr:col>
      <xdr:colOff>415181</xdr:colOff>
      <xdr:row>13</xdr:row>
      <xdr:rowOff>0</xdr:rowOff>
    </xdr:to>
    <xdr:sp macro="" textlink="">
      <xdr:nvSpPr>
        <xdr:cNvPr id="9" name="Rectangle: Rounded Corners 8">
          <a:extLst>
            <a:ext uri="{FF2B5EF4-FFF2-40B4-BE49-F238E27FC236}">
              <a16:creationId xmlns:a16="http://schemas.microsoft.com/office/drawing/2014/main" id="{30FFCD9F-8DDD-4453-8965-EF197B57946B}"/>
            </a:ext>
          </a:extLst>
        </xdr:cNvPr>
        <xdr:cNvSpPr/>
      </xdr:nvSpPr>
      <xdr:spPr>
        <a:xfrm>
          <a:off x="6903357" y="1224715"/>
          <a:ext cx="2020824" cy="1133856"/>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6</xdr:row>
      <xdr:rowOff>127001</xdr:rowOff>
    </xdr:from>
    <xdr:to>
      <xdr:col>20</xdr:col>
      <xdr:colOff>188904</xdr:colOff>
      <xdr:row>19</xdr:row>
      <xdr:rowOff>54429</xdr:rowOff>
    </xdr:to>
    <xdr:sp macro="" textlink="">
      <xdr:nvSpPr>
        <xdr:cNvPr id="10" name="Rectangle: Rounded Corners 9">
          <a:extLst>
            <a:ext uri="{FF2B5EF4-FFF2-40B4-BE49-F238E27FC236}">
              <a16:creationId xmlns:a16="http://schemas.microsoft.com/office/drawing/2014/main" id="{FCF73191-4A1B-44DB-89F1-9ADE6009D3E9}"/>
            </a:ext>
          </a:extLst>
        </xdr:cNvPr>
        <xdr:cNvSpPr/>
      </xdr:nvSpPr>
      <xdr:spPr>
        <a:xfrm>
          <a:off x="9116786" y="1215572"/>
          <a:ext cx="3227832" cy="2286000"/>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410319</xdr:colOff>
      <xdr:row>6</xdr:row>
      <xdr:rowOff>136144</xdr:rowOff>
    </xdr:from>
    <xdr:to>
      <xdr:col>11</xdr:col>
      <xdr:colOff>0</xdr:colOff>
      <xdr:row>13</xdr:row>
      <xdr:rowOff>0</xdr:rowOff>
    </xdr:to>
    <xdr:sp macro="" textlink="">
      <xdr:nvSpPr>
        <xdr:cNvPr id="11" name="Rectangle: Rounded Corners 10">
          <a:extLst>
            <a:ext uri="{FF2B5EF4-FFF2-40B4-BE49-F238E27FC236}">
              <a16:creationId xmlns:a16="http://schemas.microsoft.com/office/drawing/2014/main" id="{63B72299-D7E8-48AD-95FE-A49BC500B4B6}"/>
            </a:ext>
          </a:extLst>
        </xdr:cNvPr>
        <xdr:cNvSpPr/>
      </xdr:nvSpPr>
      <xdr:spPr>
        <a:xfrm>
          <a:off x="4664819" y="1224715"/>
          <a:ext cx="2020824" cy="1133856"/>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6</xdr:row>
      <xdr:rowOff>163286</xdr:rowOff>
    </xdr:from>
    <xdr:to>
      <xdr:col>7</xdr:col>
      <xdr:colOff>197467</xdr:colOff>
      <xdr:row>13</xdr:row>
      <xdr:rowOff>27142</xdr:rowOff>
    </xdr:to>
    <xdr:sp macro="" textlink="">
      <xdr:nvSpPr>
        <xdr:cNvPr id="12" name="Rectangle: Rounded Corners 11">
          <a:extLst>
            <a:ext uri="{FF2B5EF4-FFF2-40B4-BE49-F238E27FC236}">
              <a16:creationId xmlns:a16="http://schemas.microsoft.com/office/drawing/2014/main" id="{5ED30ED5-7ED6-4EBB-BF4A-35267A5D5C75}"/>
            </a:ext>
          </a:extLst>
        </xdr:cNvPr>
        <xdr:cNvSpPr/>
      </xdr:nvSpPr>
      <xdr:spPr>
        <a:xfrm>
          <a:off x="2431143" y="1251857"/>
          <a:ext cx="2020824" cy="1133856"/>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298922</xdr:colOff>
      <xdr:row>14</xdr:row>
      <xdr:rowOff>0</xdr:rowOff>
    </xdr:from>
    <xdr:to>
      <xdr:col>8</xdr:col>
      <xdr:colOff>208643</xdr:colOff>
      <xdr:row>18</xdr:row>
      <xdr:rowOff>170398</xdr:rowOff>
    </xdr:to>
    <xdr:sp macro="" textlink="">
      <xdr:nvSpPr>
        <xdr:cNvPr id="13" name="Rectangle: Rounded Corners 12">
          <a:extLst>
            <a:ext uri="{FF2B5EF4-FFF2-40B4-BE49-F238E27FC236}">
              <a16:creationId xmlns:a16="http://schemas.microsoft.com/office/drawing/2014/main" id="{B1FE288C-B7F9-4B3A-A5AA-1E177857F6A1}"/>
            </a:ext>
          </a:extLst>
        </xdr:cNvPr>
        <xdr:cNvSpPr/>
      </xdr:nvSpPr>
      <xdr:spPr>
        <a:xfrm>
          <a:off x="2730065" y="2540000"/>
          <a:ext cx="2340864" cy="8961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217279</xdr:colOff>
      <xdr:row>14</xdr:row>
      <xdr:rowOff>0</xdr:rowOff>
    </xdr:from>
    <xdr:to>
      <xdr:col>4</xdr:col>
      <xdr:colOff>127000</xdr:colOff>
      <xdr:row>18</xdr:row>
      <xdr:rowOff>170398</xdr:rowOff>
    </xdr:to>
    <xdr:sp macro="" textlink="">
      <xdr:nvSpPr>
        <xdr:cNvPr id="14" name="Rectangle: Rounded Corners 13">
          <a:extLst>
            <a:ext uri="{FF2B5EF4-FFF2-40B4-BE49-F238E27FC236}">
              <a16:creationId xmlns:a16="http://schemas.microsoft.com/office/drawing/2014/main" id="{5B73A8CF-331B-4686-B7EE-73812037B5B2}"/>
            </a:ext>
          </a:extLst>
        </xdr:cNvPr>
        <xdr:cNvSpPr/>
      </xdr:nvSpPr>
      <xdr:spPr>
        <a:xfrm>
          <a:off x="217279" y="2540000"/>
          <a:ext cx="2340864" cy="8961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220200</xdr:colOff>
      <xdr:row>19</xdr:row>
      <xdr:rowOff>118011</xdr:rowOff>
    </xdr:from>
    <xdr:to>
      <xdr:col>4</xdr:col>
      <xdr:colOff>47625</xdr:colOff>
      <xdr:row>35</xdr:row>
      <xdr:rowOff>127000</xdr:rowOff>
    </xdr:to>
    <xdr:sp macro="" textlink="">
      <xdr:nvSpPr>
        <xdr:cNvPr id="15" name="Rectangle: Rounded Corners 14">
          <a:extLst>
            <a:ext uri="{FF2B5EF4-FFF2-40B4-BE49-F238E27FC236}">
              <a16:creationId xmlns:a16="http://schemas.microsoft.com/office/drawing/2014/main" id="{0D0FBB0B-1C9D-4DAF-8670-21DD6EFC5B1A}"/>
            </a:ext>
          </a:extLst>
        </xdr:cNvPr>
        <xdr:cNvSpPr/>
      </xdr:nvSpPr>
      <xdr:spPr>
        <a:xfrm>
          <a:off x="220200" y="3586699"/>
          <a:ext cx="2272175" cy="2929989"/>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20</xdr:row>
      <xdr:rowOff>0</xdr:rowOff>
    </xdr:from>
    <xdr:to>
      <xdr:col>20</xdr:col>
      <xdr:colOff>170616</xdr:colOff>
      <xdr:row>35</xdr:row>
      <xdr:rowOff>122355</xdr:rowOff>
    </xdr:to>
    <xdr:sp macro="" textlink="">
      <xdr:nvSpPr>
        <xdr:cNvPr id="16" name="Rectangle: Rounded Corners 15">
          <a:extLst>
            <a:ext uri="{FF2B5EF4-FFF2-40B4-BE49-F238E27FC236}">
              <a16:creationId xmlns:a16="http://schemas.microsoft.com/office/drawing/2014/main" id="{DB7CD82B-EEA1-4DEF-A389-3A678BCDC61B}"/>
            </a:ext>
          </a:extLst>
        </xdr:cNvPr>
        <xdr:cNvSpPr/>
      </xdr:nvSpPr>
      <xdr:spPr>
        <a:xfrm>
          <a:off x="9116786" y="3628571"/>
          <a:ext cx="3209544" cy="2843784"/>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196477</xdr:colOff>
      <xdr:row>19</xdr:row>
      <xdr:rowOff>112486</xdr:rowOff>
    </xdr:from>
    <xdr:to>
      <xdr:col>8</xdr:col>
      <xdr:colOff>301625</xdr:colOff>
      <xdr:row>35</xdr:row>
      <xdr:rowOff>142875</xdr:rowOff>
    </xdr:to>
    <xdr:sp macro="" textlink="">
      <xdr:nvSpPr>
        <xdr:cNvPr id="17" name="Rectangle: Rounded Corners 16">
          <a:extLst>
            <a:ext uri="{FF2B5EF4-FFF2-40B4-BE49-F238E27FC236}">
              <a16:creationId xmlns:a16="http://schemas.microsoft.com/office/drawing/2014/main" id="{BF44DDEB-352E-4D57-BDB5-266F6FA494E8}"/>
            </a:ext>
          </a:extLst>
        </xdr:cNvPr>
        <xdr:cNvSpPr/>
      </xdr:nvSpPr>
      <xdr:spPr>
        <a:xfrm>
          <a:off x="2641227" y="3581174"/>
          <a:ext cx="2549898" cy="2951389"/>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437643</xdr:colOff>
      <xdr:row>25</xdr:row>
      <xdr:rowOff>95186</xdr:rowOff>
    </xdr:from>
    <xdr:to>
      <xdr:col>14</xdr:col>
      <xdr:colOff>492126</xdr:colOff>
      <xdr:row>35</xdr:row>
      <xdr:rowOff>134937</xdr:rowOff>
    </xdr:to>
    <xdr:sp macro="" textlink="">
      <xdr:nvSpPr>
        <xdr:cNvPr id="18" name="Rectangle: Rounded Corners 17">
          <a:extLst>
            <a:ext uri="{FF2B5EF4-FFF2-40B4-BE49-F238E27FC236}">
              <a16:creationId xmlns:a16="http://schemas.microsoft.com/office/drawing/2014/main" id="{F79BC409-BEF9-48B1-BDC3-0C620A23270F}"/>
            </a:ext>
          </a:extLst>
        </xdr:cNvPr>
        <xdr:cNvSpPr/>
      </xdr:nvSpPr>
      <xdr:spPr>
        <a:xfrm>
          <a:off x="5327143" y="4659249"/>
          <a:ext cx="3721608" cy="1865376"/>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445580</xdr:colOff>
      <xdr:row>13</xdr:row>
      <xdr:rowOff>134937</xdr:rowOff>
    </xdr:from>
    <xdr:to>
      <xdr:col>14</xdr:col>
      <xdr:colOff>500063</xdr:colOff>
      <xdr:row>24</xdr:row>
      <xdr:rowOff>129286</xdr:rowOff>
    </xdr:to>
    <xdr:sp macro="" textlink="">
      <xdr:nvSpPr>
        <xdr:cNvPr id="19" name="Rectangle: Rounded Corners 18">
          <a:extLst>
            <a:ext uri="{FF2B5EF4-FFF2-40B4-BE49-F238E27FC236}">
              <a16:creationId xmlns:a16="http://schemas.microsoft.com/office/drawing/2014/main" id="{FBED5B2B-0862-45EB-B225-6A01E0D9053D}"/>
            </a:ext>
          </a:extLst>
        </xdr:cNvPr>
        <xdr:cNvSpPr/>
      </xdr:nvSpPr>
      <xdr:spPr>
        <a:xfrm>
          <a:off x="5335080" y="2508250"/>
          <a:ext cx="3721608" cy="2002536"/>
        </a:xfrm>
        <a:prstGeom prst="roundRect">
          <a:avLst/>
        </a:prstGeom>
        <a:gradFill>
          <a:gsLst>
            <a:gs pos="0">
              <a:schemeClr val="accent1">
                <a:lumMod val="50000"/>
              </a:schemeClr>
            </a:gs>
            <a:gs pos="50000">
              <a:schemeClr val="accent1">
                <a:lumMod val="75000"/>
              </a:schemeClr>
            </a:gs>
            <a:gs pos="100000">
              <a:schemeClr val="accent1">
                <a:lumMod val="60000"/>
                <a:lumOff val="40000"/>
              </a:schemeClr>
            </a:gs>
          </a:gsLst>
          <a:lin ang="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359833</xdr:colOff>
      <xdr:row>14</xdr:row>
      <xdr:rowOff>42334</xdr:rowOff>
    </xdr:from>
    <xdr:to>
      <xdr:col>8</xdr:col>
      <xdr:colOff>137582</xdr:colOff>
      <xdr:row>18</xdr:row>
      <xdr:rowOff>116417</xdr:rowOff>
    </xdr:to>
    <mc:AlternateContent xmlns:mc="http://schemas.openxmlformats.org/markup-compatibility/2006">
      <mc:Choice xmlns:a14="http://schemas.microsoft.com/office/drawing/2010/main" Requires="a14">
        <xdr:graphicFrame macro="">
          <xdr:nvGraphicFramePr>
            <xdr:cNvPr id="20" name="JobLevel">
              <a:extLst>
                <a:ext uri="{FF2B5EF4-FFF2-40B4-BE49-F238E27FC236}">
                  <a16:creationId xmlns:a16="http://schemas.microsoft.com/office/drawing/2014/main" id="{66AB091D-7534-4156-AC44-A31EB05B042B}"/>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2790976" y="2582334"/>
              <a:ext cx="2208892" cy="799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306916</xdr:colOff>
      <xdr:row>14</xdr:row>
      <xdr:rowOff>52918</xdr:rowOff>
    </xdr:from>
    <xdr:to>
      <xdr:col>4</xdr:col>
      <xdr:colOff>95250</xdr:colOff>
      <xdr:row>18</xdr:row>
      <xdr:rowOff>127000</xdr:rowOff>
    </xdr:to>
    <mc:AlternateContent xmlns:mc="http://schemas.openxmlformats.org/markup-compatibility/2006">
      <mc:Choice xmlns:a14="http://schemas.microsoft.com/office/drawing/2010/main" Requires="a14">
        <xdr:graphicFrame macro="">
          <xdr:nvGraphicFramePr>
            <xdr:cNvPr id="21" name="MaritalStatus">
              <a:extLst>
                <a:ext uri="{FF2B5EF4-FFF2-40B4-BE49-F238E27FC236}">
                  <a16:creationId xmlns:a16="http://schemas.microsoft.com/office/drawing/2014/main" id="{6BB40DBC-60AB-4285-A0E0-E07DAA423AE7}"/>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306916" y="2592918"/>
              <a:ext cx="2219477" cy="799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275167</xdr:colOff>
      <xdr:row>1</xdr:row>
      <xdr:rowOff>95251</xdr:rowOff>
    </xdr:from>
    <xdr:to>
      <xdr:col>16</xdr:col>
      <xdr:colOff>74084</xdr:colOff>
      <xdr:row>5</xdr:row>
      <xdr:rowOff>105834</xdr:rowOff>
    </xdr:to>
    <mc:AlternateContent xmlns:mc="http://schemas.openxmlformats.org/markup-compatibility/2006">
      <mc:Choice xmlns:a14="http://schemas.microsoft.com/office/drawing/2010/main" Requires="a14">
        <xdr:graphicFrame macro="">
          <xdr:nvGraphicFramePr>
            <xdr:cNvPr id="22" name="Department">
              <a:extLst>
                <a:ext uri="{FF2B5EF4-FFF2-40B4-BE49-F238E27FC236}">
                  <a16:creationId xmlns:a16="http://schemas.microsoft.com/office/drawing/2014/main" id="{695ADDB6-69E6-4C94-9AEA-B107D48F82B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568596" y="276680"/>
              <a:ext cx="2230059" cy="736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370415</xdr:colOff>
      <xdr:row>1</xdr:row>
      <xdr:rowOff>74083</xdr:rowOff>
    </xdr:from>
    <xdr:to>
      <xdr:col>20</xdr:col>
      <xdr:colOff>137582</xdr:colOff>
      <xdr:row>5</xdr:row>
      <xdr:rowOff>127000</xdr:rowOff>
    </xdr:to>
    <mc:AlternateContent xmlns:mc="http://schemas.openxmlformats.org/markup-compatibility/2006">
      <mc:Choice xmlns:a14="http://schemas.microsoft.com/office/drawing/2010/main" Requires="a14">
        <xdr:graphicFrame macro="">
          <xdr:nvGraphicFramePr>
            <xdr:cNvPr id="23" name="Gender">
              <a:extLst>
                <a:ext uri="{FF2B5EF4-FFF2-40B4-BE49-F238E27FC236}">
                  <a16:creationId xmlns:a16="http://schemas.microsoft.com/office/drawing/2014/main" id="{36FD4DAB-12E6-4C10-86E8-3BB9AC714FF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094986" y="255512"/>
              <a:ext cx="2198310" cy="778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433917</xdr:colOff>
      <xdr:row>1</xdr:row>
      <xdr:rowOff>-1</xdr:rowOff>
    </xdr:from>
    <xdr:to>
      <xdr:col>2</xdr:col>
      <xdr:colOff>21918</xdr:colOff>
      <xdr:row>5</xdr:row>
      <xdr:rowOff>74842</xdr:rowOff>
    </xdr:to>
    <xdr:pic>
      <xdr:nvPicPr>
        <xdr:cNvPr id="26" name="Picture 25">
          <a:extLst>
            <a:ext uri="{FF2B5EF4-FFF2-40B4-BE49-F238E27FC236}">
              <a16:creationId xmlns:a16="http://schemas.microsoft.com/office/drawing/2014/main" id="{7D778051-0DB5-460D-B409-A867C4DE7A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917" y="179916"/>
          <a:ext cx="815668" cy="794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148166</xdr:colOff>
      <xdr:row>1</xdr:row>
      <xdr:rowOff>116416</xdr:rowOff>
    </xdr:from>
    <xdr:to>
      <xdr:col>10</xdr:col>
      <xdr:colOff>465667</xdr:colOff>
      <xdr:row>3</xdr:row>
      <xdr:rowOff>127000</xdr:rowOff>
    </xdr:to>
    <xdr:sp macro="" textlink="">
      <xdr:nvSpPr>
        <xdr:cNvPr id="27" name="TextBox 26">
          <a:extLst>
            <a:ext uri="{FF2B5EF4-FFF2-40B4-BE49-F238E27FC236}">
              <a16:creationId xmlns:a16="http://schemas.microsoft.com/office/drawing/2014/main" id="{8A42B0A7-BE56-47C8-9E7A-8C379E9BB07D}"/>
            </a:ext>
          </a:extLst>
        </xdr:cNvPr>
        <xdr:cNvSpPr txBox="1"/>
      </xdr:nvSpPr>
      <xdr:spPr>
        <a:xfrm>
          <a:off x="1375833" y="296333"/>
          <a:ext cx="5228167"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chemeClr val="tx1"/>
              </a:solidFill>
            </a:rPr>
            <a:t>IBM HR ATTRITION &amp; PERFORMANCE ANALYSIS</a:t>
          </a:r>
        </a:p>
      </xdr:txBody>
    </xdr:sp>
    <xdr:clientData/>
  </xdr:twoCellAnchor>
  <xdr:twoCellAnchor>
    <xdr:from>
      <xdr:col>2</xdr:col>
      <xdr:colOff>137583</xdr:colOff>
      <xdr:row>3</xdr:row>
      <xdr:rowOff>84667</xdr:rowOff>
    </xdr:from>
    <xdr:to>
      <xdr:col>7</xdr:col>
      <xdr:colOff>433917</xdr:colOff>
      <xdr:row>5</xdr:row>
      <xdr:rowOff>63501</xdr:rowOff>
    </xdr:to>
    <xdr:sp macro="" textlink="">
      <xdr:nvSpPr>
        <xdr:cNvPr id="28" name="TextBox 27">
          <a:extLst>
            <a:ext uri="{FF2B5EF4-FFF2-40B4-BE49-F238E27FC236}">
              <a16:creationId xmlns:a16="http://schemas.microsoft.com/office/drawing/2014/main" id="{9DDEA06B-8967-4A1D-8C01-23D2DF8C2848}"/>
            </a:ext>
          </a:extLst>
        </xdr:cNvPr>
        <xdr:cNvSpPr txBox="1"/>
      </xdr:nvSpPr>
      <xdr:spPr>
        <a:xfrm>
          <a:off x="1365250" y="624417"/>
          <a:ext cx="3365500"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t>How Employee Left</a:t>
          </a:r>
          <a:r>
            <a:rPr lang="en-US" sz="1600" b="1" i="1" baseline="0"/>
            <a:t> Our Organization</a:t>
          </a:r>
          <a:endParaRPr lang="en-US" sz="1600" b="1" i="1"/>
        </a:p>
      </xdr:txBody>
    </xdr:sp>
    <xdr:clientData/>
  </xdr:twoCellAnchor>
  <xdr:twoCellAnchor>
    <xdr:from>
      <xdr:col>1</xdr:col>
      <xdr:colOff>190501</xdr:colOff>
      <xdr:row>8</xdr:row>
      <xdr:rowOff>0</xdr:rowOff>
    </xdr:from>
    <xdr:to>
      <xdr:col>3</xdr:col>
      <xdr:colOff>328084</xdr:colOff>
      <xdr:row>9</xdr:row>
      <xdr:rowOff>105833</xdr:rowOff>
    </xdr:to>
    <xdr:sp macro="" textlink="">
      <xdr:nvSpPr>
        <xdr:cNvPr id="29" name="TextBox 28">
          <a:extLst>
            <a:ext uri="{FF2B5EF4-FFF2-40B4-BE49-F238E27FC236}">
              <a16:creationId xmlns:a16="http://schemas.microsoft.com/office/drawing/2014/main" id="{01DED1CE-8455-44E1-8FFE-32395BA9D24C}"/>
            </a:ext>
          </a:extLst>
        </xdr:cNvPr>
        <xdr:cNvSpPr txBox="1"/>
      </xdr:nvSpPr>
      <xdr:spPr>
        <a:xfrm>
          <a:off x="804334" y="1439333"/>
          <a:ext cx="1365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1">
              <a:solidFill>
                <a:schemeClr val="dk1"/>
              </a:solidFill>
              <a:effectLst/>
              <a:latin typeface="+mn-lt"/>
              <a:ea typeface="+mn-ea"/>
              <a:cs typeface="+mn-cs"/>
            </a:rPr>
            <a:t>Total Employee </a:t>
          </a:r>
          <a:endParaRPr lang="en-US" sz="1400" b="1" i="1">
            <a:effectLst/>
          </a:endParaRPr>
        </a:p>
        <a:p>
          <a:endParaRPr lang="en-US" sz="1100"/>
        </a:p>
      </xdr:txBody>
    </xdr:sp>
    <xdr:clientData/>
  </xdr:twoCellAnchor>
  <xdr:twoCellAnchor>
    <xdr:from>
      <xdr:col>2</xdr:col>
      <xdr:colOff>374650</xdr:colOff>
      <xdr:row>9</xdr:row>
      <xdr:rowOff>173565</xdr:rowOff>
    </xdr:from>
    <xdr:to>
      <xdr:col>3</xdr:col>
      <xdr:colOff>285751</xdr:colOff>
      <xdr:row>11</xdr:row>
      <xdr:rowOff>137583</xdr:rowOff>
    </xdr:to>
    <xdr:sp macro="" textlink="'Pivot Table'!A16">
      <xdr:nvSpPr>
        <xdr:cNvPr id="30" name="TextBox 29">
          <a:extLst>
            <a:ext uri="{FF2B5EF4-FFF2-40B4-BE49-F238E27FC236}">
              <a16:creationId xmlns:a16="http://schemas.microsoft.com/office/drawing/2014/main" id="{8447599B-798D-4ABE-929E-06B83BC1B44F}"/>
            </a:ext>
          </a:extLst>
        </xdr:cNvPr>
        <xdr:cNvSpPr txBox="1"/>
      </xdr:nvSpPr>
      <xdr:spPr>
        <a:xfrm>
          <a:off x="1602317" y="1792815"/>
          <a:ext cx="5249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122874-F504-4996-A6CB-2E0CCC2FAD21}" type="TxLink">
            <a:rPr lang="en-US" sz="1600" b="1" i="0" u="none" strike="noStrike">
              <a:solidFill>
                <a:srgbClr val="000000"/>
              </a:solidFill>
              <a:latin typeface="Calibri"/>
              <a:ea typeface="Calibri"/>
              <a:cs typeface="Calibri"/>
            </a:rPr>
            <a:t>320</a:t>
          </a:fld>
          <a:endParaRPr lang="en-US" sz="1600" b="1"/>
        </a:p>
      </xdr:txBody>
    </xdr:sp>
    <xdr:clientData/>
  </xdr:twoCellAnchor>
  <xdr:twoCellAnchor>
    <xdr:from>
      <xdr:col>5</xdr:col>
      <xdr:colOff>516466</xdr:colOff>
      <xdr:row>9</xdr:row>
      <xdr:rowOff>167215</xdr:rowOff>
    </xdr:from>
    <xdr:to>
      <xdr:col>7</xdr:col>
      <xdr:colOff>148165</xdr:colOff>
      <xdr:row>11</xdr:row>
      <xdr:rowOff>158750</xdr:rowOff>
    </xdr:to>
    <xdr:sp macro="" textlink="'Pivot Table'!A17">
      <xdr:nvSpPr>
        <xdr:cNvPr id="31" name="TextBox 30">
          <a:extLst>
            <a:ext uri="{FF2B5EF4-FFF2-40B4-BE49-F238E27FC236}">
              <a16:creationId xmlns:a16="http://schemas.microsoft.com/office/drawing/2014/main" id="{CF95EEA5-7AB0-407C-9E5E-AE1A8F5B2525}"/>
            </a:ext>
          </a:extLst>
        </xdr:cNvPr>
        <xdr:cNvSpPr txBox="1"/>
      </xdr:nvSpPr>
      <xdr:spPr>
        <a:xfrm>
          <a:off x="3585633" y="1786465"/>
          <a:ext cx="859365"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1BB1F2-A061-44DF-AE2B-7985B31C4DB9}" type="TxLink">
            <a:rPr lang="en-US" sz="1600" b="1" i="0" u="none" strike="noStrike">
              <a:solidFill>
                <a:srgbClr val="000000"/>
              </a:solidFill>
              <a:latin typeface="Calibri"/>
              <a:ea typeface="Calibri"/>
              <a:cs typeface="Calibri"/>
            </a:rPr>
            <a:t>4.43125</a:t>
          </a:fld>
          <a:endParaRPr lang="en-US" sz="1600" b="1" i="0"/>
        </a:p>
      </xdr:txBody>
    </xdr:sp>
    <xdr:clientData/>
  </xdr:twoCellAnchor>
  <xdr:twoCellAnchor>
    <xdr:from>
      <xdr:col>4</xdr:col>
      <xdr:colOff>277284</xdr:colOff>
      <xdr:row>7</xdr:row>
      <xdr:rowOff>137582</xdr:rowOff>
    </xdr:from>
    <xdr:to>
      <xdr:col>7</xdr:col>
      <xdr:colOff>211667</xdr:colOff>
      <xdr:row>9</xdr:row>
      <xdr:rowOff>127000</xdr:rowOff>
    </xdr:to>
    <xdr:sp macro="" textlink="">
      <xdr:nvSpPr>
        <xdr:cNvPr id="32" name="TextBox 31">
          <a:extLst>
            <a:ext uri="{FF2B5EF4-FFF2-40B4-BE49-F238E27FC236}">
              <a16:creationId xmlns:a16="http://schemas.microsoft.com/office/drawing/2014/main" id="{B20922BD-64DD-440C-8E8A-98AE1B3F1CC5}"/>
            </a:ext>
          </a:extLst>
        </xdr:cNvPr>
        <xdr:cNvSpPr txBox="1"/>
      </xdr:nvSpPr>
      <xdr:spPr>
        <a:xfrm>
          <a:off x="2732617" y="1396999"/>
          <a:ext cx="1775883"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t>Avg YearAtCompany</a:t>
          </a:r>
        </a:p>
      </xdr:txBody>
    </xdr:sp>
    <xdr:clientData/>
  </xdr:twoCellAnchor>
  <xdr:twoCellAnchor>
    <xdr:from>
      <xdr:col>10</xdr:col>
      <xdr:colOff>69850</xdr:colOff>
      <xdr:row>9</xdr:row>
      <xdr:rowOff>175681</xdr:rowOff>
    </xdr:from>
    <xdr:to>
      <xdr:col>10</xdr:col>
      <xdr:colOff>497417</xdr:colOff>
      <xdr:row>11</xdr:row>
      <xdr:rowOff>116416</xdr:rowOff>
    </xdr:to>
    <xdr:sp macro="" textlink="'Pivot Table'!A18">
      <xdr:nvSpPr>
        <xdr:cNvPr id="33" name="TextBox 32">
          <a:extLst>
            <a:ext uri="{FF2B5EF4-FFF2-40B4-BE49-F238E27FC236}">
              <a16:creationId xmlns:a16="http://schemas.microsoft.com/office/drawing/2014/main" id="{607FB872-64F7-4D23-B424-613A1D08D51C}"/>
            </a:ext>
          </a:extLst>
        </xdr:cNvPr>
        <xdr:cNvSpPr txBox="1"/>
      </xdr:nvSpPr>
      <xdr:spPr>
        <a:xfrm>
          <a:off x="6208183" y="1794931"/>
          <a:ext cx="427567" cy="30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F58B95-B794-4387-BBD9-EFBC650AD91B}" type="TxLink">
            <a:rPr lang="en-US" sz="1600" b="1" i="0" u="none" strike="noStrike">
              <a:solidFill>
                <a:srgbClr val="000000"/>
              </a:solidFill>
              <a:latin typeface="Calibri"/>
              <a:ea typeface="Calibri"/>
              <a:cs typeface="Calibri"/>
            </a:rPr>
            <a:t>64</a:t>
          </a:fld>
          <a:endParaRPr lang="en-US" sz="1600" b="1"/>
        </a:p>
      </xdr:txBody>
    </xdr:sp>
    <xdr:clientData/>
  </xdr:twoCellAnchor>
  <xdr:twoCellAnchor>
    <xdr:from>
      <xdr:col>8</xdr:col>
      <xdr:colOff>508000</xdr:colOff>
      <xdr:row>7</xdr:row>
      <xdr:rowOff>126998</xdr:rowOff>
    </xdr:from>
    <xdr:to>
      <xdr:col>10</xdr:col>
      <xdr:colOff>571501</xdr:colOff>
      <xdr:row>9</xdr:row>
      <xdr:rowOff>63498</xdr:rowOff>
    </xdr:to>
    <xdr:sp macro="" textlink="">
      <xdr:nvSpPr>
        <xdr:cNvPr id="34" name="TextBox 33">
          <a:extLst>
            <a:ext uri="{FF2B5EF4-FFF2-40B4-BE49-F238E27FC236}">
              <a16:creationId xmlns:a16="http://schemas.microsoft.com/office/drawing/2014/main" id="{780739F6-8598-48BC-B277-DFD02E7DCCB2}"/>
            </a:ext>
          </a:extLst>
        </xdr:cNvPr>
        <xdr:cNvSpPr txBox="1"/>
      </xdr:nvSpPr>
      <xdr:spPr>
        <a:xfrm>
          <a:off x="5418667" y="1386415"/>
          <a:ext cx="129116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t>Left Employee</a:t>
          </a:r>
        </a:p>
      </xdr:txBody>
    </xdr:sp>
    <xdr:clientData/>
  </xdr:twoCellAnchor>
  <xdr:twoCellAnchor>
    <xdr:from>
      <xdr:col>12</xdr:col>
      <xdr:colOff>300567</xdr:colOff>
      <xdr:row>7</xdr:row>
      <xdr:rowOff>99482</xdr:rowOff>
    </xdr:from>
    <xdr:to>
      <xdr:col>14</xdr:col>
      <xdr:colOff>306917</xdr:colOff>
      <xdr:row>9</xdr:row>
      <xdr:rowOff>21166</xdr:rowOff>
    </xdr:to>
    <xdr:sp macro="" textlink="">
      <xdr:nvSpPr>
        <xdr:cNvPr id="35" name="TextBox 34">
          <a:extLst>
            <a:ext uri="{FF2B5EF4-FFF2-40B4-BE49-F238E27FC236}">
              <a16:creationId xmlns:a16="http://schemas.microsoft.com/office/drawing/2014/main" id="{E48BEDA5-1C22-4E73-BC6C-2B8A76CC6D15}"/>
            </a:ext>
          </a:extLst>
        </xdr:cNvPr>
        <xdr:cNvSpPr txBox="1"/>
      </xdr:nvSpPr>
      <xdr:spPr>
        <a:xfrm>
          <a:off x="7666567" y="1358899"/>
          <a:ext cx="1234017" cy="28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t>Attrition Rate</a:t>
          </a:r>
        </a:p>
      </xdr:txBody>
    </xdr:sp>
    <xdr:clientData/>
  </xdr:twoCellAnchor>
  <xdr:twoCellAnchor>
    <xdr:from>
      <xdr:col>13</xdr:col>
      <xdr:colOff>304799</xdr:colOff>
      <xdr:row>9</xdr:row>
      <xdr:rowOff>124882</xdr:rowOff>
    </xdr:from>
    <xdr:to>
      <xdr:col>14</xdr:col>
      <xdr:colOff>243416</xdr:colOff>
      <xdr:row>11</xdr:row>
      <xdr:rowOff>148167</xdr:rowOff>
    </xdr:to>
    <xdr:sp macro="" textlink="'Pivot Table'!A19">
      <xdr:nvSpPr>
        <xdr:cNvPr id="36" name="TextBox 35">
          <a:extLst>
            <a:ext uri="{FF2B5EF4-FFF2-40B4-BE49-F238E27FC236}">
              <a16:creationId xmlns:a16="http://schemas.microsoft.com/office/drawing/2014/main" id="{2AFC0566-9582-40D6-A022-1DF9B012E267}"/>
            </a:ext>
          </a:extLst>
        </xdr:cNvPr>
        <xdr:cNvSpPr txBox="1"/>
      </xdr:nvSpPr>
      <xdr:spPr>
        <a:xfrm>
          <a:off x="8284632" y="1744132"/>
          <a:ext cx="552451" cy="383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7F07AC-872F-4A9B-9B40-082C33A95E58}" type="TxLink">
            <a:rPr lang="en-US" sz="1600" b="1" i="0" u="none" strike="noStrike">
              <a:solidFill>
                <a:srgbClr val="000000"/>
              </a:solidFill>
              <a:latin typeface="Calibri"/>
              <a:ea typeface="Calibri"/>
              <a:cs typeface="Calibri"/>
            </a:rPr>
            <a:t>20%</a:t>
          </a:fld>
          <a:endParaRPr lang="en-US" sz="1600" b="1"/>
        </a:p>
      </xdr:txBody>
    </xdr:sp>
    <xdr:clientData/>
  </xdr:twoCellAnchor>
  <xdr:twoCellAnchor editAs="oneCell">
    <xdr:from>
      <xdr:col>4</xdr:col>
      <xdr:colOff>148167</xdr:colOff>
      <xdr:row>9</xdr:row>
      <xdr:rowOff>74084</xdr:rowOff>
    </xdr:from>
    <xdr:to>
      <xdr:col>5</xdr:col>
      <xdr:colOff>295466</xdr:colOff>
      <xdr:row>12</xdr:row>
      <xdr:rowOff>151292</xdr:rowOff>
    </xdr:to>
    <xdr:pic>
      <xdr:nvPicPr>
        <xdr:cNvPr id="38" name="Picture 37">
          <a:extLst>
            <a:ext uri="{FF2B5EF4-FFF2-40B4-BE49-F238E27FC236}">
              <a16:creationId xmlns:a16="http://schemas.microsoft.com/office/drawing/2014/main" id="{3EAD3403-FAE7-46A4-8E7B-1BA491633E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03500" y="1693334"/>
          <a:ext cx="761133" cy="616958"/>
        </a:xfrm>
        <a:prstGeom prst="rect">
          <a:avLst/>
        </a:prstGeom>
      </xdr:spPr>
    </xdr:pic>
    <xdr:clientData/>
  </xdr:twoCellAnchor>
  <xdr:twoCellAnchor editAs="oneCell">
    <xdr:from>
      <xdr:col>0</xdr:col>
      <xdr:colOff>317501</xdr:colOff>
      <xdr:row>8</xdr:row>
      <xdr:rowOff>105834</xdr:rowOff>
    </xdr:from>
    <xdr:to>
      <xdr:col>1</xdr:col>
      <xdr:colOff>471167</xdr:colOff>
      <xdr:row>12</xdr:row>
      <xdr:rowOff>133048</xdr:rowOff>
    </xdr:to>
    <xdr:pic>
      <xdr:nvPicPr>
        <xdr:cNvPr id="39" name="Picture 38">
          <a:extLst>
            <a:ext uri="{FF2B5EF4-FFF2-40B4-BE49-F238E27FC236}">
              <a16:creationId xmlns:a16="http://schemas.microsoft.com/office/drawing/2014/main" id="{52D58DE4-59A9-4B02-8514-FE82CB3EC8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7501" y="1545167"/>
          <a:ext cx="767499" cy="746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529167</xdr:colOff>
      <xdr:row>9</xdr:row>
      <xdr:rowOff>74083</xdr:rowOff>
    </xdr:from>
    <xdr:to>
      <xdr:col>8</xdr:col>
      <xdr:colOff>605581</xdr:colOff>
      <xdr:row>12</xdr:row>
      <xdr:rowOff>74083</xdr:rowOff>
    </xdr:to>
    <xdr:pic>
      <xdr:nvPicPr>
        <xdr:cNvPr id="40" name="Picture 39">
          <a:extLst>
            <a:ext uri="{FF2B5EF4-FFF2-40B4-BE49-F238E27FC236}">
              <a16:creationId xmlns:a16="http://schemas.microsoft.com/office/drawing/2014/main" id="{6C18497A-2AEC-4EC1-BC7B-1EF054E79E1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826000" y="1693333"/>
          <a:ext cx="690248"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370417</xdr:colOff>
      <xdr:row>8</xdr:row>
      <xdr:rowOff>42334</xdr:rowOff>
    </xdr:from>
    <xdr:to>
      <xdr:col>12</xdr:col>
      <xdr:colOff>533702</xdr:colOff>
      <xdr:row>12</xdr:row>
      <xdr:rowOff>77547</xdr:rowOff>
    </xdr:to>
    <xdr:pic>
      <xdr:nvPicPr>
        <xdr:cNvPr id="41" name="Picture 40">
          <a:extLst>
            <a:ext uri="{FF2B5EF4-FFF2-40B4-BE49-F238E27FC236}">
              <a16:creationId xmlns:a16="http://schemas.microsoft.com/office/drawing/2014/main" id="{17F7AB94-D4A3-41B7-B452-E76CAD51328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122584" y="1481667"/>
          <a:ext cx="777118" cy="754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232833</xdr:colOff>
      <xdr:row>19</xdr:row>
      <xdr:rowOff>148165</xdr:rowOff>
    </xdr:from>
    <xdr:to>
      <xdr:col>4</xdr:col>
      <xdr:colOff>21167</xdr:colOff>
      <xdr:row>35</xdr:row>
      <xdr:rowOff>148166</xdr:rowOff>
    </xdr:to>
    <xdr:graphicFrame macro="">
      <xdr:nvGraphicFramePr>
        <xdr:cNvPr id="42" name="Chart 41">
          <a:extLst>
            <a:ext uri="{FF2B5EF4-FFF2-40B4-BE49-F238E27FC236}">
              <a16:creationId xmlns:a16="http://schemas.microsoft.com/office/drawing/2014/main" id="{959262E9-0397-4200-AF10-AD875AB72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211667</xdr:colOff>
      <xdr:row>19</xdr:row>
      <xdr:rowOff>127000</xdr:rowOff>
    </xdr:from>
    <xdr:to>
      <xdr:col>8</xdr:col>
      <xdr:colOff>296333</xdr:colOff>
      <xdr:row>35</xdr:row>
      <xdr:rowOff>148167</xdr:rowOff>
    </xdr:to>
    <xdr:graphicFrame macro="">
      <xdr:nvGraphicFramePr>
        <xdr:cNvPr id="44" name="Chart 43">
          <a:extLst>
            <a:ext uri="{FF2B5EF4-FFF2-40B4-BE49-F238E27FC236}">
              <a16:creationId xmlns:a16="http://schemas.microsoft.com/office/drawing/2014/main" id="{D2D40763-F2E0-4964-ABB3-339194B45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444500</xdr:colOff>
      <xdr:row>25</xdr:row>
      <xdr:rowOff>95249</xdr:rowOff>
    </xdr:from>
    <xdr:to>
      <xdr:col>14</xdr:col>
      <xdr:colOff>497416</xdr:colOff>
      <xdr:row>35</xdr:row>
      <xdr:rowOff>158750</xdr:rowOff>
    </xdr:to>
    <xdr:graphicFrame macro="">
      <xdr:nvGraphicFramePr>
        <xdr:cNvPr id="45" name="Chart 44">
          <a:extLst>
            <a:ext uri="{FF2B5EF4-FFF2-40B4-BE49-F238E27FC236}">
              <a16:creationId xmlns:a16="http://schemas.microsoft.com/office/drawing/2014/main" id="{694A0421-DC30-49A8-8D54-EAC21654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455083</xdr:colOff>
      <xdr:row>13</xdr:row>
      <xdr:rowOff>116417</xdr:rowOff>
    </xdr:from>
    <xdr:to>
      <xdr:col>14</xdr:col>
      <xdr:colOff>497416</xdr:colOff>
      <xdr:row>24</xdr:row>
      <xdr:rowOff>127000</xdr:rowOff>
    </xdr:to>
    <xdr:graphicFrame macro="">
      <xdr:nvGraphicFramePr>
        <xdr:cNvPr id="46" name="Chart 45">
          <a:extLst>
            <a:ext uri="{FF2B5EF4-FFF2-40B4-BE49-F238E27FC236}">
              <a16:creationId xmlns:a16="http://schemas.microsoft.com/office/drawing/2014/main" id="{1871B412-38DC-4664-87DC-109019747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6</xdr:row>
      <xdr:rowOff>116417</xdr:rowOff>
    </xdr:from>
    <xdr:to>
      <xdr:col>20</xdr:col>
      <xdr:colOff>190500</xdr:colOff>
      <xdr:row>19</xdr:row>
      <xdr:rowOff>52916</xdr:rowOff>
    </xdr:to>
    <xdr:graphicFrame macro="">
      <xdr:nvGraphicFramePr>
        <xdr:cNvPr id="47" name="Chart 46">
          <a:extLst>
            <a:ext uri="{FF2B5EF4-FFF2-40B4-BE49-F238E27FC236}">
              <a16:creationId xmlns:a16="http://schemas.microsoft.com/office/drawing/2014/main" id="{FAC86CF8-5561-4F94-9796-37542F992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190499</xdr:colOff>
      <xdr:row>19</xdr:row>
      <xdr:rowOff>148166</xdr:rowOff>
    </xdr:from>
    <xdr:to>
      <xdr:col>20</xdr:col>
      <xdr:colOff>52915</xdr:colOff>
      <xdr:row>35</xdr:row>
      <xdr:rowOff>42333</xdr:rowOff>
    </xdr:to>
    <mc:AlternateContent xmlns:mc="http://schemas.openxmlformats.org/markup-compatibility/2006">
      <mc:Choice xmlns:cx1="http://schemas.microsoft.com/office/drawing/2015/9/8/chartex" Requires="cx1">
        <xdr:graphicFrame macro="">
          <xdr:nvGraphicFramePr>
            <xdr:cNvPr id="49" name="Chart 48">
              <a:extLst>
                <a:ext uri="{FF2B5EF4-FFF2-40B4-BE49-F238E27FC236}">
                  <a16:creationId xmlns:a16="http://schemas.microsoft.com/office/drawing/2014/main" id="{D8D802AE-54AE-419D-AE9D-2F67D0621E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397999" y="3566583"/>
              <a:ext cx="2931583" cy="27728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Desktop/IBM_HR_Employee_Attrition_Demo.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9.005444328701" createdVersion="7" refreshedVersion="7" minRefreshableVersion="3" recordCount="320" xr:uid="{8F535F71-9F8A-445F-A124-0EACD091DF45}">
  <cacheSource type="worksheet">
    <worksheetSource ref="A1:AH321" sheet="IBM_HR_Employee_Attrition_Demo" r:id="rId2"/>
  </cacheSource>
  <cacheFields count="34">
    <cacheField name="EmployeeName" numFmtId="0">
      <sharedItems/>
    </cacheField>
    <cacheField name="Age" numFmtId="0">
      <sharedItems containsSemiMixedTypes="0" containsString="0" containsNumber="1" containsInteger="1" minValue="18" maxValue="60"/>
    </cacheField>
    <cacheField name="Age Group" numFmtId="0">
      <sharedItems count="5">
        <s v="35-44"/>
        <s v="25-34"/>
        <s v="45-54"/>
        <s v="55+"/>
        <s v="under 25"/>
      </sharedItems>
    </cacheField>
    <cacheField name="Attrition" numFmtId="0">
      <sharedItems/>
    </cacheField>
    <cacheField name="EmployeeStatus" numFmtId="0">
      <sharedItems count="2">
        <s v="Active"/>
        <s v="Left"/>
      </sharedItems>
    </cacheField>
    <cacheField name="BusinessTravel" numFmtId="0">
      <sharedItems/>
    </cacheField>
    <cacheField name="DailyRate" numFmtId="0">
      <sharedItems containsSemiMixedTypes="0" containsString="0" containsNumber="1" containsInteger="1" minValue="100" maxValue="1491"/>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99"/>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4"/>
        <n v="5"/>
        <n v="1"/>
        <n v="3"/>
      </sharedItems>
    </cacheField>
    <cacheField name="JobRole" numFmtId="0">
      <sharedItems count="9">
        <s v="Research Director"/>
        <s v="Manager"/>
        <s v="Research Scientist"/>
        <s v="Healthcare Representative"/>
        <s v="Laboratory Technician"/>
        <s v="Manufacturing Director"/>
        <s v="Sales Representative"/>
        <s v="Sales Executive"/>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171" maxValue="14431"/>
    </cacheField>
    <cacheField name="MonthlyRate" numFmtId="0">
      <sharedItems containsSemiMixedTypes="0" containsString="0" containsNumber="1" containsInteger="1" minValue="2192" maxValue="26950"/>
    </cacheField>
    <cacheField name="NumCompaniesWorked" numFmtId="0">
      <sharedItems containsSemiMixedTypes="0" containsString="0" containsNumber="1" containsInteger="1" minValue="0" maxValue="8"/>
    </cacheField>
    <cacheField name="OverTime" numFmtId="0">
      <sharedItems/>
    </cacheField>
    <cacheField name="PercentSalaryHike" numFmtId="0">
      <sharedItems containsSemiMixedTypes="0" containsString="0" containsNumber="1" containsInteger="1" minValue="11" maxValue="23"/>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31"/>
    </cacheField>
    <cacheField name="YearsInCurrentRole" numFmtId="0">
      <sharedItems containsSemiMixedTypes="0" containsString="0" containsNumber="1" containsInteger="1" minValue="0" maxValue="11"/>
    </cacheField>
    <cacheField name="YearsSinceLastPromotion" numFmtId="0">
      <sharedItems containsSemiMixedTypes="0" containsString="0" containsNumber="1" containsInteger="1" minValue="0" maxValue="9"/>
    </cacheField>
    <cacheField name="YearsWithCurrManager"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1847311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s v="Deborah Jones"/>
    <n v="42"/>
    <x v="0"/>
    <s v="No"/>
    <x v="0"/>
    <s v="Travel_Rarely"/>
    <n v="847"/>
    <x v="0"/>
    <n v="7"/>
    <n v="4"/>
    <s v="Technical Degree"/>
    <n v="3"/>
    <x v="0"/>
    <n v="78"/>
    <n v="3"/>
    <x v="0"/>
    <x v="0"/>
    <x v="0"/>
    <x v="0"/>
    <n v="8002"/>
    <n v="10666"/>
    <n v="1"/>
    <s v="Yes"/>
    <n v="11"/>
    <n v="3"/>
    <n v="2"/>
    <n v="1"/>
    <n v="23"/>
    <n v="1"/>
    <n v="3"/>
    <n v="7"/>
    <n v="0"/>
    <n v="7"/>
    <n v="5"/>
  </r>
  <r>
    <s v="Betty Brown"/>
    <n v="31"/>
    <x v="1"/>
    <s v="Yes"/>
    <x v="1"/>
    <s v="Travel_Rarely"/>
    <n v="915"/>
    <x v="1"/>
    <n v="5"/>
    <n v="2"/>
    <s v="Life Sciences"/>
    <n v="3"/>
    <x v="0"/>
    <n v="44"/>
    <n v="2"/>
    <x v="0"/>
    <x v="1"/>
    <x v="1"/>
    <x v="1"/>
    <n v="6746"/>
    <n v="9629"/>
    <n v="3"/>
    <s v="No"/>
    <n v="18"/>
    <n v="3"/>
    <n v="4"/>
    <n v="0"/>
    <n v="10"/>
    <n v="0"/>
    <n v="3"/>
    <n v="0"/>
    <n v="0"/>
    <n v="0"/>
    <n v="0"/>
  </r>
  <r>
    <s v="Christine White"/>
    <n v="42"/>
    <x v="0"/>
    <s v="No"/>
    <x v="0"/>
    <s v="Travel_Rarely"/>
    <n v="742"/>
    <x v="0"/>
    <n v="1"/>
    <n v="3"/>
    <s v="Life Sciences"/>
    <n v="1"/>
    <x v="1"/>
    <n v="30"/>
    <n v="3"/>
    <x v="1"/>
    <x v="2"/>
    <x v="2"/>
    <x v="1"/>
    <n v="10260"/>
    <n v="19412"/>
    <n v="3"/>
    <s v="Yes"/>
    <n v="14"/>
    <n v="3"/>
    <n v="2"/>
    <n v="1"/>
    <n v="21"/>
    <n v="4"/>
    <n v="3"/>
    <n v="11"/>
    <n v="2"/>
    <n v="0"/>
    <n v="0"/>
  </r>
  <r>
    <s v="Patrick Anderson"/>
    <n v="35"/>
    <x v="0"/>
    <s v="No"/>
    <x v="0"/>
    <s v="Travel_Frequently"/>
    <n v="1382"/>
    <x v="0"/>
    <n v="16"/>
    <n v="3"/>
    <s v="Life Sciences"/>
    <n v="2"/>
    <x v="0"/>
    <n v="99"/>
    <n v="2"/>
    <x v="0"/>
    <x v="3"/>
    <x v="2"/>
    <x v="2"/>
    <n v="7886"/>
    <n v="23959"/>
    <n v="3"/>
    <s v="Yes"/>
    <n v="13"/>
    <n v="3"/>
    <n v="3"/>
    <n v="1"/>
    <n v="12"/>
    <n v="3"/>
    <n v="2"/>
    <n v="9"/>
    <n v="0"/>
    <n v="4"/>
    <n v="2"/>
  </r>
  <r>
    <s v="Lisa Rodriguez"/>
    <n v="36"/>
    <x v="0"/>
    <s v="No"/>
    <x v="0"/>
    <s v="Travel_Rarely"/>
    <n v="243"/>
    <x v="0"/>
    <n v="6"/>
    <n v="3"/>
    <s v="Life Sciences"/>
    <n v="2"/>
    <x v="0"/>
    <n v="88"/>
    <n v="3"/>
    <x v="0"/>
    <x v="0"/>
    <x v="3"/>
    <x v="1"/>
    <n v="8026"/>
    <n v="13589"/>
    <n v="3"/>
    <s v="No"/>
    <n v="13"/>
    <n v="3"/>
    <n v="4"/>
    <n v="1"/>
    <n v="14"/>
    <n v="3"/>
    <n v="3"/>
    <n v="3"/>
    <n v="2"/>
    <n v="1"/>
    <n v="0"/>
  </r>
  <r>
    <s v="Catherine Campbell"/>
    <n v="53"/>
    <x v="2"/>
    <s v="No"/>
    <x v="0"/>
    <s v="Non-Travel"/>
    <n v="153"/>
    <x v="0"/>
    <n v="2"/>
    <n v="3"/>
    <s v="Technical Degree"/>
    <n v="3"/>
    <x v="0"/>
    <n v="62"/>
    <n v="1"/>
    <x v="2"/>
    <x v="4"/>
    <x v="2"/>
    <x v="0"/>
    <n v="14042"/>
    <n v="14183"/>
    <n v="1"/>
    <s v="No"/>
    <n v="15"/>
    <n v="3"/>
    <n v="4"/>
    <n v="2"/>
    <n v="31"/>
    <n v="6"/>
    <n v="2"/>
    <n v="31"/>
    <n v="10"/>
    <n v="1"/>
    <n v="6"/>
  </r>
  <r>
    <s v="Kevin Clark"/>
    <n v="40"/>
    <x v="0"/>
    <s v="No"/>
    <x v="0"/>
    <s v="Travel_Rarely"/>
    <n v="1169"/>
    <x v="0"/>
    <n v="29"/>
    <n v="3"/>
    <s v="Life Sciences"/>
    <n v="2"/>
    <x v="0"/>
    <n v="35"/>
    <n v="3"/>
    <x v="3"/>
    <x v="5"/>
    <x v="1"/>
    <x v="1"/>
    <n v="5119"/>
    <n v="16434"/>
    <n v="4"/>
    <s v="No"/>
    <n v="15"/>
    <n v="3"/>
    <n v="3"/>
    <n v="1"/>
    <n v="14"/>
    <n v="5"/>
    <n v="3"/>
    <n v="4"/>
    <n v="4"/>
    <n v="1"/>
    <n v="1"/>
  </r>
  <r>
    <s v="David Flores"/>
    <n v="26"/>
    <x v="1"/>
    <s v="Yes"/>
    <x v="1"/>
    <s v="Travel_Rarely"/>
    <n v="611"/>
    <x v="1"/>
    <n v="1"/>
    <n v="4"/>
    <s v="Other"/>
    <n v="1"/>
    <x v="0"/>
    <n v="45"/>
    <n v="3"/>
    <x v="0"/>
    <x v="6"/>
    <x v="2"/>
    <x v="0"/>
    <n v="5105"/>
    <n v="12893"/>
    <n v="2"/>
    <s v="Yes"/>
    <n v="16"/>
    <n v="3"/>
    <n v="3"/>
    <n v="2"/>
    <n v="6"/>
    <n v="2"/>
    <n v="2"/>
    <n v="6"/>
    <n v="2"/>
    <n v="0"/>
    <n v="1"/>
  </r>
  <r>
    <s v="Jonathan Carter"/>
    <n v="37"/>
    <x v="0"/>
    <s v="Yes"/>
    <x v="1"/>
    <s v="Travel_Rarely"/>
    <n v="1181"/>
    <x v="0"/>
    <n v="1"/>
    <n v="1"/>
    <s v="Technical Degree"/>
    <n v="3"/>
    <x v="1"/>
    <n v="30"/>
    <n v="1"/>
    <x v="3"/>
    <x v="1"/>
    <x v="1"/>
    <x v="0"/>
    <n v="4245"/>
    <n v="15407"/>
    <n v="4"/>
    <s v="Yes"/>
    <n v="20"/>
    <n v="3"/>
    <n v="2"/>
    <n v="1"/>
    <n v="12"/>
    <n v="5"/>
    <n v="3"/>
    <n v="4"/>
    <n v="2"/>
    <n v="2"/>
    <n v="3"/>
  </r>
  <r>
    <s v="Linda Hall"/>
    <n v="34"/>
    <x v="1"/>
    <s v="Yes"/>
    <x v="1"/>
    <s v="Travel_Rarely"/>
    <n v="596"/>
    <x v="1"/>
    <n v="4"/>
    <n v="2"/>
    <s v="Life Sciences"/>
    <n v="4"/>
    <x v="0"/>
    <n v="61"/>
    <n v="2"/>
    <x v="3"/>
    <x v="6"/>
    <x v="0"/>
    <x v="1"/>
    <n v="5404"/>
    <n v="2851"/>
    <n v="4"/>
    <s v="Yes"/>
    <n v="12"/>
    <n v="3"/>
    <n v="2"/>
    <n v="1"/>
    <n v="15"/>
    <n v="4"/>
    <n v="2"/>
    <n v="3"/>
    <n v="2"/>
    <n v="2"/>
    <n v="0"/>
  </r>
  <r>
    <s v="James Lopez"/>
    <n v="44"/>
    <x v="0"/>
    <s v="No"/>
    <x v="0"/>
    <s v="Travel_Rarely"/>
    <n v="195"/>
    <x v="0"/>
    <n v="9"/>
    <n v="2"/>
    <s v="Medical"/>
    <n v="3"/>
    <x v="0"/>
    <n v="53"/>
    <n v="3"/>
    <x v="0"/>
    <x v="2"/>
    <x v="0"/>
    <x v="2"/>
    <n v="5986"/>
    <n v="25190"/>
    <n v="1"/>
    <s v="Yes"/>
    <n v="11"/>
    <n v="4"/>
    <n v="2"/>
    <n v="2"/>
    <n v="21"/>
    <n v="4"/>
    <n v="3"/>
    <n v="5"/>
    <n v="5"/>
    <n v="2"/>
    <n v="4"/>
  </r>
  <r>
    <s v="Sharon Miller"/>
    <n v="54"/>
    <x v="2"/>
    <s v="No"/>
    <x v="0"/>
    <s v="Travel_Rarely"/>
    <n v="334"/>
    <x v="1"/>
    <n v="11"/>
    <n v="3"/>
    <s v="Other"/>
    <n v="4"/>
    <x v="0"/>
    <n v="47"/>
    <n v="1"/>
    <x v="0"/>
    <x v="1"/>
    <x v="3"/>
    <x v="0"/>
    <n v="9707"/>
    <n v="6846"/>
    <n v="0"/>
    <s v="Yes"/>
    <n v="14"/>
    <n v="3"/>
    <n v="4"/>
    <n v="0"/>
    <n v="34"/>
    <n v="2"/>
    <n v="3"/>
    <n v="9"/>
    <n v="4"/>
    <n v="0"/>
    <n v="2"/>
  </r>
  <r>
    <s v="Karen Hall"/>
    <n v="30"/>
    <x v="1"/>
    <s v="No"/>
    <x v="0"/>
    <s v="Travel_Rarely"/>
    <n v="289"/>
    <x v="0"/>
    <n v="1"/>
    <n v="4"/>
    <s v="Medical"/>
    <n v="1"/>
    <x v="1"/>
    <n v="92"/>
    <n v="1"/>
    <x v="3"/>
    <x v="2"/>
    <x v="0"/>
    <x v="1"/>
    <n v="4932"/>
    <n v="3531"/>
    <n v="1"/>
    <s v="No"/>
    <n v="20"/>
    <n v="4"/>
    <n v="3"/>
    <n v="0"/>
    <n v="7"/>
    <n v="3"/>
    <n v="4"/>
    <n v="4"/>
    <n v="0"/>
    <n v="1"/>
    <n v="0"/>
  </r>
  <r>
    <s v="Shirley Garcia"/>
    <n v="33"/>
    <x v="1"/>
    <s v="No"/>
    <x v="0"/>
    <s v="Non-Travel"/>
    <n v="831"/>
    <x v="0"/>
    <n v="2"/>
    <n v="1"/>
    <s v="Life Sciences"/>
    <n v="4"/>
    <x v="1"/>
    <n v="70"/>
    <n v="3"/>
    <x v="4"/>
    <x v="2"/>
    <x v="0"/>
    <x v="1"/>
    <n v="9659"/>
    <n v="6835"/>
    <n v="1"/>
    <s v="No"/>
    <n v="11"/>
    <n v="4"/>
    <n v="4"/>
    <n v="3"/>
    <n v="14"/>
    <n v="5"/>
    <n v="3"/>
    <n v="14"/>
    <n v="6"/>
    <n v="1"/>
    <n v="2"/>
  </r>
  <r>
    <s v="Jeffrey Harris"/>
    <n v="47"/>
    <x v="2"/>
    <s v="Yes"/>
    <x v="1"/>
    <s v="Travel_Rarely"/>
    <n v="1096"/>
    <x v="1"/>
    <n v="28"/>
    <n v="3"/>
    <s v="Other"/>
    <n v="2"/>
    <x v="1"/>
    <n v="82"/>
    <n v="1"/>
    <x v="1"/>
    <x v="1"/>
    <x v="1"/>
    <x v="0"/>
    <n v="11484"/>
    <n v="12916"/>
    <n v="1"/>
    <s v="Yes"/>
    <n v="15"/>
    <n v="3"/>
    <n v="4"/>
    <n v="1"/>
    <n v="24"/>
    <n v="2"/>
    <n v="3"/>
    <n v="11"/>
    <n v="5"/>
    <n v="1"/>
    <n v="1"/>
  </r>
  <r>
    <s v="Sharon Carter"/>
    <n v="32"/>
    <x v="1"/>
    <s v="No"/>
    <x v="0"/>
    <s v="Travel_Rarely"/>
    <n v="1458"/>
    <x v="0"/>
    <n v="7"/>
    <n v="4"/>
    <s v="Medical"/>
    <n v="3"/>
    <x v="1"/>
    <n v="59"/>
    <n v="2"/>
    <x v="3"/>
    <x v="1"/>
    <x v="1"/>
    <x v="2"/>
    <n v="3018"/>
    <n v="6854"/>
    <n v="7"/>
    <s v="No"/>
    <n v="21"/>
    <n v="3"/>
    <n v="2"/>
    <n v="1"/>
    <n v="11"/>
    <n v="5"/>
    <n v="3"/>
    <n v="3"/>
    <n v="1"/>
    <n v="3"/>
    <n v="3"/>
  </r>
  <r>
    <s v="Amy Smith"/>
    <n v="28"/>
    <x v="1"/>
    <s v="No"/>
    <x v="0"/>
    <s v="Travel_Frequently"/>
    <n v="1169"/>
    <x v="0"/>
    <n v="28"/>
    <n v="3"/>
    <s v="Medical"/>
    <n v="3"/>
    <x v="1"/>
    <n v="63"/>
    <n v="1"/>
    <x v="0"/>
    <x v="5"/>
    <x v="3"/>
    <x v="1"/>
    <n v="4333"/>
    <n v="12160"/>
    <n v="1"/>
    <s v="Yes"/>
    <n v="16"/>
    <n v="3"/>
    <n v="4"/>
    <n v="1"/>
    <n v="7"/>
    <n v="1"/>
    <n v="4"/>
    <n v="5"/>
    <n v="0"/>
    <n v="3"/>
    <n v="1"/>
  </r>
  <r>
    <s v="Paul Martinez"/>
    <n v="32"/>
    <x v="1"/>
    <s v="No"/>
    <x v="0"/>
    <s v="Travel_Rarely"/>
    <n v="584"/>
    <x v="0"/>
    <n v="11"/>
    <n v="3"/>
    <s v="Other"/>
    <n v="3"/>
    <x v="0"/>
    <n v="57"/>
    <n v="1"/>
    <x v="3"/>
    <x v="0"/>
    <x v="2"/>
    <x v="1"/>
    <n v="3019"/>
    <n v="3062"/>
    <n v="2"/>
    <s v="No"/>
    <n v="15"/>
    <n v="4"/>
    <n v="4"/>
    <n v="0"/>
    <n v="7"/>
    <n v="2"/>
    <n v="3"/>
    <n v="0"/>
    <n v="0"/>
    <n v="0"/>
    <n v="0"/>
  </r>
  <r>
    <s v="Brandon Hill"/>
    <n v="33"/>
    <x v="1"/>
    <s v="No"/>
    <x v="0"/>
    <s v="Travel_Rarely"/>
    <n v="922"/>
    <x v="0"/>
    <n v="29"/>
    <n v="3"/>
    <s v="Other"/>
    <n v="4"/>
    <x v="0"/>
    <n v="38"/>
    <n v="1"/>
    <x v="0"/>
    <x v="2"/>
    <x v="0"/>
    <x v="1"/>
    <n v="5709"/>
    <n v="15046"/>
    <n v="1"/>
    <s v="No"/>
    <n v="13"/>
    <n v="3"/>
    <n v="3"/>
    <n v="0"/>
    <n v="9"/>
    <n v="0"/>
    <n v="4"/>
    <n v="5"/>
    <n v="0"/>
    <n v="0"/>
    <n v="0"/>
  </r>
  <r>
    <s v="John Campbell"/>
    <n v="39"/>
    <x v="0"/>
    <s v="No"/>
    <x v="0"/>
    <s v="Travel_Rarely"/>
    <n v="358"/>
    <x v="0"/>
    <n v="9"/>
    <n v="5"/>
    <s v="Life Sciences"/>
    <n v="1"/>
    <x v="0"/>
    <n v="62"/>
    <n v="3"/>
    <x v="3"/>
    <x v="1"/>
    <x v="3"/>
    <x v="2"/>
    <n v="5521"/>
    <n v="14977"/>
    <n v="1"/>
    <s v="No"/>
    <n v="16"/>
    <n v="3"/>
    <n v="1"/>
    <n v="1"/>
    <n v="20"/>
    <n v="2"/>
    <n v="2"/>
    <n v="1"/>
    <n v="1"/>
    <n v="1"/>
    <n v="1"/>
  </r>
  <r>
    <s v="Elizabeth White"/>
    <n v="31"/>
    <x v="1"/>
    <s v="No"/>
    <x v="0"/>
    <s v="Travel_Rarely"/>
    <n v="1165"/>
    <x v="1"/>
    <n v="20"/>
    <n v="3"/>
    <s v="Life Sciences"/>
    <n v="3"/>
    <x v="1"/>
    <n v="47"/>
    <n v="3"/>
    <x v="0"/>
    <x v="7"/>
    <x v="2"/>
    <x v="2"/>
    <n v="6493"/>
    <n v="12535"/>
    <n v="4"/>
    <s v="No"/>
    <n v="17"/>
    <n v="3"/>
    <n v="1"/>
    <n v="1"/>
    <n v="12"/>
    <n v="5"/>
    <n v="2"/>
    <n v="7"/>
    <n v="0"/>
    <n v="3"/>
    <n v="5"/>
  </r>
  <r>
    <s v="Heather Brown"/>
    <n v="52"/>
    <x v="2"/>
    <s v="No"/>
    <x v="0"/>
    <s v="Travel_Frequently"/>
    <n v="114"/>
    <x v="0"/>
    <n v="12"/>
    <n v="4"/>
    <s v="Other"/>
    <n v="2"/>
    <x v="0"/>
    <n v="58"/>
    <n v="3"/>
    <x v="3"/>
    <x v="4"/>
    <x v="1"/>
    <x v="2"/>
    <n v="8586"/>
    <n v="22103"/>
    <n v="2"/>
    <s v="No"/>
    <n v="11"/>
    <n v="3"/>
    <n v="2"/>
    <n v="0"/>
    <n v="29"/>
    <n v="4"/>
    <n v="4"/>
    <n v="0"/>
    <n v="0"/>
    <n v="0"/>
    <n v="0"/>
  </r>
  <r>
    <s v="Larry Martin"/>
    <n v="38"/>
    <x v="0"/>
    <s v="Yes"/>
    <x v="1"/>
    <s v="Travel_Frequently"/>
    <n v="1035"/>
    <x v="0"/>
    <n v="6"/>
    <n v="4"/>
    <s v="Medical"/>
    <n v="4"/>
    <x v="1"/>
    <n v="44"/>
    <n v="3"/>
    <x v="0"/>
    <x v="3"/>
    <x v="0"/>
    <x v="0"/>
    <n v="7645"/>
    <n v="4708"/>
    <n v="6"/>
    <s v="No"/>
    <n v="18"/>
    <n v="3"/>
    <n v="3"/>
    <n v="0"/>
    <n v="21"/>
    <n v="4"/>
    <n v="3"/>
    <n v="7"/>
    <n v="7"/>
    <n v="2"/>
    <n v="0"/>
  </r>
  <r>
    <s v="Edward Johnson"/>
    <n v="26"/>
    <x v="1"/>
    <s v="No"/>
    <x v="0"/>
    <s v="Travel_Frequently"/>
    <n v="534"/>
    <x v="0"/>
    <n v="1"/>
    <n v="2"/>
    <s v="Other"/>
    <n v="3"/>
    <x v="0"/>
    <n v="85"/>
    <n v="3"/>
    <x v="3"/>
    <x v="1"/>
    <x v="2"/>
    <x v="0"/>
    <n v="3396"/>
    <n v="4079"/>
    <n v="3"/>
    <s v="Yes"/>
    <n v="11"/>
    <n v="3"/>
    <n v="3"/>
    <n v="1"/>
    <n v="4"/>
    <n v="4"/>
    <n v="3"/>
    <n v="1"/>
    <n v="1"/>
    <n v="1"/>
    <n v="1"/>
  </r>
  <r>
    <s v="Nicholas Taylor"/>
    <n v="41"/>
    <x v="0"/>
    <s v="No"/>
    <x v="0"/>
    <s v="Non-Travel"/>
    <n v="195"/>
    <x v="1"/>
    <n v="16"/>
    <n v="4"/>
    <s v="Other"/>
    <n v="4"/>
    <x v="0"/>
    <n v="61"/>
    <n v="1"/>
    <x v="0"/>
    <x v="1"/>
    <x v="3"/>
    <x v="2"/>
    <n v="8854"/>
    <n v="17149"/>
    <n v="3"/>
    <s v="Yes"/>
    <n v="16"/>
    <n v="3"/>
    <n v="1"/>
    <n v="2"/>
    <n v="18"/>
    <n v="2"/>
    <n v="2"/>
    <n v="3"/>
    <n v="2"/>
    <n v="0"/>
    <n v="0"/>
  </r>
  <r>
    <s v="Ashley Robinson"/>
    <n v="32"/>
    <x v="1"/>
    <s v="No"/>
    <x v="0"/>
    <s v="Travel_Rarely"/>
    <n v="1238"/>
    <x v="0"/>
    <n v="7"/>
    <n v="2"/>
    <s v="Life Sciences"/>
    <n v="4"/>
    <x v="0"/>
    <n v="43"/>
    <n v="1"/>
    <x v="0"/>
    <x v="4"/>
    <x v="2"/>
    <x v="1"/>
    <n v="6437"/>
    <n v="14808"/>
    <n v="4"/>
    <s v="No"/>
    <n v="19"/>
    <n v="3"/>
    <n v="1"/>
    <n v="1"/>
    <n v="12"/>
    <n v="2"/>
    <n v="2"/>
    <n v="3"/>
    <n v="2"/>
    <n v="1"/>
    <n v="1"/>
  </r>
  <r>
    <s v="Brian Lewis"/>
    <n v="55"/>
    <x v="3"/>
    <s v="No"/>
    <x v="0"/>
    <s v="Travel_Rarely"/>
    <n v="1119"/>
    <x v="0"/>
    <n v="18"/>
    <n v="2"/>
    <s v="Medical"/>
    <n v="3"/>
    <x v="1"/>
    <n v="83"/>
    <n v="4"/>
    <x v="4"/>
    <x v="1"/>
    <x v="0"/>
    <x v="0"/>
    <n v="10067"/>
    <n v="19770"/>
    <n v="2"/>
    <s v="No"/>
    <n v="15"/>
    <n v="3"/>
    <n v="4"/>
    <n v="0"/>
    <n v="34"/>
    <n v="2"/>
    <n v="3"/>
    <n v="12"/>
    <n v="2"/>
    <n v="1"/>
    <n v="3"/>
  </r>
  <r>
    <s v="Brenda White"/>
    <n v="31"/>
    <x v="1"/>
    <s v="No"/>
    <x v="0"/>
    <s v="Travel_Rarely"/>
    <n v="1167"/>
    <x v="1"/>
    <n v="1"/>
    <n v="4"/>
    <s v="Life Sciences"/>
    <n v="4"/>
    <x v="0"/>
    <n v="88"/>
    <n v="3"/>
    <x v="3"/>
    <x v="7"/>
    <x v="2"/>
    <x v="1"/>
    <n v="3068"/>
    <n v="6090"/>
    <n v="4"/>
    <s v="No"/>
    <n v="19"/>
    <n v="4"/>
    <n v="4"/>
    <n v="3"/>
    <n v="9"/>
    <n v="3"/>
    <n v="3"/>
    <n v="0"/>
    <n v="0"/>
    <n v="0"/>
    <n v="0"/>
  </r>
  <r>
    <s v="William Adams"/>
    <n v="38"/>
    <x v="0"/>
    <s v="No"/>
    <x v="0"/>
    <s v="Non-Travel"/>
    <n v="714"/>
    <x v="0"/>
    <n v="5"/>
    <n v="3"/>
    <s v="Medical"/>
    <n v="4"/>
    <x v="0"/>
    <n v="46"/>
    <n v="2"/>
    <x v="3"/>
    <x v="5"/>
    <x v="1"/>
    <x v="1"/>
    <n v="6445"/>
    <n v="26077"/>
    <n v="1"/>
    <s v="No"/>
    <n v="11"/>
    <n v="3"/>
    <n v="4"/>
    <n v="1"/>
    <n v="15"/>
    <n v="1"/>
    <n v="2"/>
    <n v="2"/>
    <n v="0"/>
    <n v="2"/>
    <n v="0"/>
  </r>
  <r>
    <s v="Emily Smith"/>
    <n v="39"/>
    <x v="0"/>
    <s v="No"/>
    <x v="0"/>
    <s v="Travel_Frequently"/>
    <n v="1482"/>
    <x v="0"/>
    <n v="16"/>
    <n v="1"/>
    <s v="Life Sciences"/>
    <n v="2"/>
    <x v="0"/>
    <n v="34"/>
    <n v="4"/>
    <x v="3"/>
    <x v="4"/>
    <x v="1"/>
    <x v="0"/>
    <n v="5109"/>
    <n v="12816"/>
    <n v="3"/>
    <s v="No"/>
    <n v="20"/>
    <n v="3"/>
    <n v="1"/>
    <n v="0"/>
    <n v="18"/>
    <n v="1"/>
    <n v="1"/>
    <n v="4"/>
    <n v="4"/>
    <n v="3"/>
    <n v="4"/>
  </r>
  <r>
    <s v="Amy Davis"/>
    <n v="35"/>
    <x v="0"/>
    <s v="No"/>
    <x v="0"/>
    <s v="Travel_Rarely"/>
    <n v="153"/>
    <x v="0"/>
    <n v="1"/>
    <n v="3"/>
    <s v="Technical Degree"/>
    <n v="1"/>
    <x v="1"/>
    <n v="76"/>
    <n v="3"/>
    <x v="4"/>
    <x v="3"/>
    <x v="0"/>
    <x v="2"/>
    <n v="8944"/>
    <n v="2726"/>
    <n v="3"/>
    <s v="No"/>
    <n v="12"/>
    <n v="3"/>
    <n v="2"/>
    <n v="2"/>
    <n v="11"/>
    <n v="4"/>
    <n v="2"/>
    <n v="11"/>
    <n v="0"/>
    <n v="5"/>
    <n v="3"/>
  </r>
  <r>
    <s v="Lisa Lewis"/>
    <n v="31"/>
    <x v="1"/>
    <s v="No"/>
    <x v="0"/>
    <s v="Travel_Frequently"/>
    <n v="692"/>
    <x v="1"/>
    <n v="8"/>
    <n v="4"/>
    <s v="Other"/>
    <n v="4"/>
    <x v="1"/>
    <n v="69"/>
    <n v="3"/>
    <x v="3"/>
    <x v="7"/>
    <x v="2"/>
    <x v="2"/>
    <n v="4094"/>
    <n v="11516"/>
    <n v="3"/>
    <s v="No"/>
    <n v="15"/>
    <n v="4"/>
    <n v="4"/>
    <n v="1"/>
    <n v="8"/>
    <n v="5"/>
    <n v="3"/>
    <n v="4"/>
    <n v="0"/>
    <n v="1"/>
    <n v="1"/>
  </r>
  <r>
    <s v="Dennis Perez"/>
    <n v="38"/>
    <x v="0"/>
    <s v="Yes"/>
    <x v="1"/>
    <s v="Travel_Frequently"/>
    <n v="459"/>
    <x v="0"/>
    <n v="13"/>
    <n v="1"/>
    <s v="Medical"/>
    <n v="2"/>
    <x v="1"/>
    <n v="89"/>
    <n v="3"/>
    <x v="3"/>
    <x v="5"/>
    <x v="2"/>
    <x v="1"/>
    <n v="5812"/>
    <n v="6543"/>
    <n v="2"/>
    <s v="No"/>
    <n v="11"/>
    <n v="4"/>
    <n v="4"/>
    <n v="1"/>
    <n v="15"/>
    <n v="3"/>
    <n v="2"/>
    <n v="1"/>
    <n v="1"/>
    <n v="0"/>
    <n v="1"/>
  </r>
  <r>
    <s v="Emily King"/>
    <n v="38"/>
    <x v="0"/>
    <s v="Yes"/>
    <x v="1"/>
    <s v="Travel_Rarely"/>
    <n v="1046"/>
    <x v="1"/>
    <n v="29"/>
    <n v="4"/>
    <s v="Other"/>
    <n v="3"/>
    <x v="0"/>
    <n v="87"/>
    <n v="3"/>
    <x v="4"/>
    <x v="7"/>
    <x v="0"/>
    <x v="1"/>
    <n v="8612"/>
    <n v="13801"/>
    <n v="0"/>
    <s v="Yes"/>
    <n v="11"/>
    <n v="4"/>
    <n v="2"/>
    <n v="0"/>
    <n v="14"/>
    <n v="2"/>
    <n v="3"/>
    <n v="14"/>
    <n v="4"/>
    <n v="0"/>
    <n v="4"/>
  </r>
  <r>
    <s v="Helen Ramirez"/>
    <n v="20"/>
    <x v="4"/>
    <s v="No"/>
    <x v="0"/>
    <s v="Travel_Frequently"/>
    <n v="298"/>
    <x v="0"/>
    <n v="16"/>
    <n v="2"/>
    <s v="Other"/>
    <n v="3"/>
    <x v="0"/>
    <n v="32"/>
    <n v="2"/>
    <x v="3"/>
    <x v="1"/>
    <x v="1"/>
    <x v="1"/>
    <n v="3657"/>
    <n v="19343"/>
    <n v="1"/>
    <s v="No"/>
    <n v="11"/>
    <n v="3"/>
    <n v="3"/>
    <n v="0"/>
    <n v="0"/>
    <n v="4"/>
    <n v="2"/>
    <n v="0"/>
    <n v="0"/>
    <n v="0"/>
    <n v="0"/>
  </r>
  <r>
    <s v="Maria Martin"/>
    <n v="34"/>
    <x v="1"/>
    <s v="No"/>
    <x v="0"/>
    <s v="Travel_Rarely"/>
    <n v="772"/>
    <x v="0"/>
    <n v="2"/>
    <n v="3"/>
    <s v="Other"/>
    <n v="1"/>
    <x v="0"/>
    <n v="69"/>
    <n v="4"/>
    <x v="0"/>
    <x v="5"/>
    <x v="0"/>
    <x v="1"/>
    <n v="8806"/>
    <n v="24431"/>
    <n v="1"/>
    <s v="Yes"/>
    <n v="14"/>
    <n v="4"/>
    <n v="2"/>
    <n v="2"/>
    <n v="11"/>
    <n v="1"/>
    <n v="3"/>
    <n v="7"/>
    <n v="5"/>
    <n v="3"/>
    <n v="0"/>
  </r>
  <r>
    <s v="Margaret Jones"/>
    <n v="40"/>
    <x v="0"/>
    <s v="No"/>
    <x v="0"/>
    <s v="Travel_Rarely"/>
    <n v="973"/>
    <x v="0"/>
    <n v="7"/>
    <n v="3"/>
    <s v="Technical Degree"/>
    <n v="4"/>
    <x v="0"/>
    <n v="43"/>
    <n v="2"/>
    <x v="3"/>
    <x v="4"/>
    <x v="0"/>
    <x v="2"/>
    <n v="4988"/>
    <n v="15258"/>
    <n v="5"/>
    <s v="Yes"/>
    <n v="14"/>
    <n v="3"/>
    <n v="3"/>
    <n v="1"/>
    <n v="18"/>
    <n v="4"/>
    <n v="1"/>
    <n v="2"/>
    <n v="2"/>
    <n v="2"/>
    <n v="2"/>
  </r>
  <r>
    <s v="Karen King"/>
    <n v="26"/>
    <x v="1"/>
    <s v="No"/>
    <x v="0"/>
    <s v="Travel_Rarely"/>
    <n v="1240"/>
    <x v="0"/>
    <n v="4"/>
    <n v="2"/>
    <s v="Technical Degree"/>
    <n v="3"/>
    <x v="1"/>
    <n v="95"/>
    <n v="3"/>
    <x v="4"/>
    <x v="2"/>
    <x v="0"/>
    <x v="0"/>
    <n v="6469"/>
    <n v="13171"/>
    <n v="3"/>
    <s v="Yes"/>
    <n v="22"/>
    <n v="3"/>
    <n v="1"/>
    <n v="0"/>
    <n v="5"/>
    <n v="3"/>
    <n v="3"/>
    <n v="5"/>
    <n v="3"/>
    <n v="2"/>
    <n v="1"/>
  </r>
  <r>
    <s v="Donald Nguyen"/>
    <n v="36"/>
    <x v="0"/>
    <s v="No"/>
    <x v="0"/>
    <s v="Travel_Rarely"/>
    <n v="729"/>
    <x v="2"/>
    <n v="3"/>
    <n v="3"/>
    <s v="Human Resources"/>
    <n v="4"/>
    <x v="0"/>
    <n v="43"/>
    <n v="3"/>
    <x v="0"/>
    <x v="8"/>
    <x v="3"/>
    <x v="2"/>
    <n v="5719"/>
    <n v="12831"/>
    <n v="2"/>
    <s v="No"/>
    <n v="14"/>
    <n v="3"/>
    <n v="1"/>
    <n v="1"/>
    <n v="16"/>
    <n v="3"/>
    <n v="1"/>
    <n v="5"/>
    <n v="0"/>
    <n v="0"/>
    <n v="5"/>
  </r>
  <r>
    <s v="Pamela Robinson"/>
    <n v="46"/>
    <x v="2"/>
    <s v="No"/>
    <x v="0"/>
    <s v="Travel_Rarely"/>
    <n v="1346"/>
    <x v="0"/>
    <n v="6"/>
    <n v="1"/>
    <s v="Other"/>
    <n v="1"/>
    <x v="0"/>
    <n v="85"/>
    <n v="2"/>
    <x v="1"/>
    <x v="3"/>
    <x v="0"/>
    <x v="0"/>
    <n v="12304"/>
    <n v="8638"/>
    <n v="3"/>
    <s v="No"/>
    <n v="16"/>
    <n v="3"/>
    <n v="4"/>
    <n v="1"/>
    <n v="24"/>
    <n v="2"/>
    <n v="2"/>
    <n v="16"/>
    <n v="0"/>
    <n v="0"/>
    <n v="1"/>
  </r>
  <r>
    <s v="Katherine Young"/>
    <n v="44"/>
    <x v="0"/>
    <s v="No"/>
    <x v="0"/>
    <s v="Travel_Rarely"/>
    <n v="1284"/>
    <x v="1"/>
    <n v="14"/>
    <n v="2"/>
    <s v="Life Sciences"/>
    <n v="4"/>
    <x v="1"/>
    <n v="70"/>
    <n v="3"/>
    <x v="4"/>
    <x v="1"/>
    <x v="0"/>
    <x v="1"/>
    <n v="7752"/>
    <n v="23592"/>
    <n v="6"/>
    <s v="Yes"/>
    <n v="18"/>
    <n v="3"/>
    <n v="4"/>
    <n v="2"/>
    <n v="19"/>
    <n v="5"/>
    <n v="3"/>
    <n v="11"/>
    <n v="4"/>
    <n v="0"/>
    <n v="4"/>
  </r>
  <r>
    <s v="Robert Martin"/>
    <n v="25"/>
    <x v="4"/>
    <s v="No"/>
    <x v="0"/>
    <s v="Travel_Rarely"/>
    <n v="1416"/>
    <x v="1"/>
    <n v="3"/>
    <n v="2"/>
    <s v="Marketing"/>
    <n v="1"/>
    <x v="1"/>
    <n v="73"/>
    <n v="3"/>
    <x v="3"/>
    <x v="1"/>
    <x v="2"/>
    <x v="1"/>
    <n v="2549"/>
    <n v="16051"/>
    <n v="4"/>
    <s v="Yes"/>
    <n v="11"/>
    <n v="3"/>
    <n v="4"/>
    <n v="1"/>
    <n v="0"/>
    <n v="4"/>
    <n v="2"/>
    <n v="0"/>
    <n v="0"/>
    <n v="0"/>
    <n v="0"/>
  </r>
  <r>
    <s v="Ronald Jackson"/>
    <n v="21"/>
    <x v="4"/>
    <s v="Yes"/>
    <x v="1"/>
    <s v="Travel_Frequently"/>
    <n v="1058"/>
    <x v="0"/>
    <n v="2"/>
    <n v="3"/>
    <s v="Medical"/>
    <n v="3"/>
    <x v="0"/>
    <n v="85"/>
    <n v="3"/>
    <x v="3"/>
    <x v="4"/>
    <x v="0"/>
    <x v="0"/>
    <n v="3894"/>
    <n v="17600"/>
    <n v="1"/>
    <s v="Yes"/>
    <n v="11"/>
    <n v="3"/>
    <n v="3"/>
    <n v="1"/>
    <n v="0"/>
    <n v="4"/>
    <n v="3"/>
    <n v="0"/>
    <n v="0"/>
    <n v="0"/>
    <n v="0"/>
  </r>
  <r>
    <s v="Nancy Brown"/>
    <n v="25"/>
    <x v="4"/>
    <s v="Yes"/>
    <x v="1"/>
    <s v="Travel_Frequently"/>
    <n v="1087"/>
    <x v="0"/>
    <n v="8"/>
    <n v="3"/>
    <s v="Life Sciences"/>
    <n v="3"/>
    <x v="1"/>
    <n v="61"/>
    <n v="4"/>
    <x v="3"/>
    <x v="4"/>
    <x v="2"/>
    <x v="0"/>
    <n v="3934"/>
    <n v="11160"/>
    <n v="3"/>
    <s v="Yes"/>
    <n v="14"/>
    <n v="3"/>
    <n v="4"/>
    <n v="0"/>
    <n v="1"/>
    <n v="3"/>
    <n v="3"/>
    <n v="0"/>
    <n v="0"/>
    <n v="0"/>
    <n v="0"/>
  </r>
  <r>
    <s v="Nicole Mitchell"/>
    <n v="33"/>
    <x v="1"/>
    <s v="Yes"/>
    <x v="1"/>
    <s v="Travel_Rarely"/>
    <n v="1253"/>
    <x v="0"/>
    <n v="2"/>
    <n v="3"/>
    <s v="Other"/>
    <n v="3"/>
    <x v="0"/>
    <n v="73"/>
    <n v="3"/>
    <x v="3"/>
    <x v="4"/>
    <x v="0"/>
    <x v="2"/>
    <n v="3694"/>
    <n v="21201"/>
    <n v="4"/>
    <s v="No"/>
    <n v="11"/>
    <n v="4"/>
    <n v="1"/>
    <n v="0"/>
    <n v="10"/>
    <n v="4"/>
    <n v="3"/>
    <n v="2"/>
    <n v="0"/>
    <n v="1"/>
    <n v="0"/>
  </r>
  <r>
    <s v="Thomas Gonzalez"/>
    <n v="28"/>
    <x v="1"/>
    <s v="No"/>
    <x v="0"/>
    <s v="Travel_Frequently"/>
    <n v="848"/>
    <x v="1"/>
    <n v="2"/>
    <n v="4"/>
    <s v="Other"/>
    <n v="3"/>
    <x v="1"/>
    <n v="95"/>
    <n v="3"/>
    <x v="0"/>
    <x v="1"/>
    <x v="0"/>
    <x v="0"/>
    <n v="5813"/>
    <n v="20792"/>
    <n v="3"/>
    <s v="Yes"/>
    <n v="13"/>
    <n v="3"/>
    <n v="3"/>
    <n v="0"/>
    <n v="5"/>
    <n v="4"/>
    <n v="4"/>
    <n v="5"/>
    <n v="0"/>
    <n v="0"/>
    <n v="4"/>
  </r>
  <r>
    <s v="Janet Baker"/>
    <n v="45"/>
    <x v="2"/>
    <s v="No"/>
    <x v="0"/>
    <s v="Travel_Frequently"/>
    <n v="921"/>
    <x v="1"/>
    <n v="1"/>
    <n v="3"/>
    <s v="Marketing"/>
    <n v="2"/>
    <x v="1"/>
    <n v="81"/>
    <n v="3"/>
    <x v="0"/>
    <x v="6"/>
    <x v="3"/>
    <x v="2"/>
    <n v="9908"/>
    <n v="13138"/>
    <n v="4"/>
    <s v="No"/>
    <n v="13"/>
    <n v="3"/>
    <n v="4"/>
    <n v="3"/>
    <n v="22"/>
    <n v="3"/>
    <n v="2"/>
    <n v="3"/>
    <n v="0"/>
    <n v="2"/>
    <n v="1"/>
  </r>
  <r>
    <s v="Elizabeth Gonzalez"/>
    <n v="22"/>
    <x v="4"/>
    <s v="No"/>
    <x v="0"/>
    <s v="Travel_Rarely"/>
    <n v="499"/>
    <x v="1"/>
    <n v="5"/>
    <n v="2"/>
    <s v="Life Sciences"/>
    <n v="1"/>
    <x v="0"/>
    <n v="33"/>
    <n v="3"/>
    <x v="3"/>
    <x v="1"/>
    <x v="0"/>
    <x v="1"/>
    <n v="3297"/>
    <n v="16083"/>
    <n v="1"/>
    <s v="No"/>
    <n v="13"/>
    <n v="3"/>
    <n v="3"/>
    <n v="3"/>
    <n v="2"/>
    <n v="4"/>
    <n v="2"/>
    <n v="2"/>
    <n v="2"/>
    <n v="0"/>
    <n v="1"/>
  </r>
  <r>
    <s v="Helen Campbell"/>
    <n v="36"/>
    <x v="0"/>
    <s v="No"/>
    <x v="0"/>
    <s v="Travel_Rarely"/>
    <n v="282"/>
    <x v="0"/>
    <n v="1"/>
    <n v="4"/>
    <s v="Life Sciences"/>
    <n v="3"/>
    <x v="0"/>
    <n v="55"/>
    <n v="3"/>
    <x v="3"/>
    <x v="1"/>
    <x v="0"/>
    <x v="0"/>
    <n v="6111"/>
    <n v="12749"/>
    <n v="4"/>
    <s v="No"/>
    <n v="14"/>
    <n v="3"/>
    <n v="4"/>
    <n v="0"/>
    <n v="13"/>
    <n v="3"/>
    <n v="4"/>
    <n v="4"/>
    <n v="0"/>
    <n v="0"/>
    <n v="0"/>
  </r>
  <r>
    <s v="Joseph Lee"/>
    <n v="36"/>
    <x v="0"/>
    <s v="No"/>
    <x v="0"/>
    <s v="Travel_Frequently"/>
    <n v="507"/>
    <x v="0"/>
    <n v="7"/>
    <n v="3"/>
    <s v="Life Sciences"/>
    <n v="3"/>
    <x v="1"/>
    <n v="53"/>
    <n v="3"/>
    <x v="3"/>
    <x v="0"/>
    <x v="3"/>
    <x v="1"/>
    <n v="4896"/>
    <n v="13280"/>
    <n v="2"/>
    <s v="No"/>
    <n v="15"/>
    <n v="3"/>
    <n v="1"/>
    <n v="3"/>
    <n v="15"/>
    <n v="3"/>
    <n v="2"/>
    <n v="0"/>
    <n v="0"/>
    <n v="0"/>
    <n v="0"/>
  </r>
  <r>
    <s v="Laura Thomas"/>
    <n v="30"/>
    <x v="1"/>
    <s v="No"/>
    <x v="0"/>
    <s v="Travel_Rarely"/>
    <n v="259"/>
    <x v="1"/>
    <n v="2"/>
    <n v="2"/>
    <s v="Medical"/>
    <n v="3"/>
    <x v="1"/>
    <n v="45"/>
    <n v="3"/>
    <x v="3"/>
    <x v="7"/>
    <x v="3"/>
    <x v="1"/>
    <n v="4621"/>
    <n v="11503"/>
    <n v="1"/>
    <s v="Yes"/>
    <n v="11"/>
    <n v="3"/>
    <n v="2"/>
    <n v="1"/>
    <n v="9"/>
    <n v="1"/>
    <n v="3"/>
    <n v="0"/>
    <n v="0"/>
    <n v="0"/>
    <n v="0"/>
  </r>
  <r>
    <s v="Kathleen Scott"/>
    <n v="34"/>
    <x v="1"/>
    <s v="No"/>
    <x v="0"/>
    <s v="Travel_Rarely"/>
    <n v="959"/>
    <x v="0"/>
    <n v="2"/>
    <n v="4"/>
    <s v="Other"/>
    <n v="4"/>
    <x v="1"/>
    <n v="58"/>
    <n v="3"/>
    <x v="3"/>
    <x v="3"/>
    <x v="0"/>
    <x v="1"/>
    <n v="4099"/>
    <n v="18140"/>
    <n v="3"/>
    <s v="No"/>
    <n v="18"/>
    <n v="3"/>
    <n v="3"/>
    <n v="0"/>
    <n v="11"/>
    <n v="3"/>
    <n v="3"/>
    <n v="4"/>
    <n v="3"/>
    <n v="0"/>
    <n v="4"/>
  </r>
  <r>
    <s v="Edward Jones"/>
    <n v="35"/>
    <x v="0"/>
    <s v="No"/>
    <x v="0"/>
    <s v="Travel_Frequently"/>
    <n v="413"/>
    <x v="0"/>
    <n v="17"/>
    <n v="4"/>
    <s v="Technical Degree"/>
    <n v="2"/>
    <x v="0"/>
    <n v="83"/>
    <n v="3"/>
    <x v="3"/>
    <x v="3"/>
    <x v="0"/>
    <x v="1"/>
    <n v="6302"/>
    <n v="5083"/>
    <n v="5"/>
    <s v="No"/>
    <n v="15"/>
    <n v="3"/>
    <n v="4"/>
    <n v="1"/>
    <n v="15"/>
    <n v="3"/>
    <n v="3"/>
    <n v="1"/>
    <n v="0"/>
    <n v="1"/>
    <n v="1"/>
  </r>
  <r>
    <s v="Amanda Rodriguez"/>
    <n v="52"/>
    <x v="2"/>
    <s v="No"/>
    <x v="0"/>
    <s v="Travel_Rarely"/>
    <n v="310"/>
    <x v="0"/>
    <n v="1"/>
    <n v="4"/>
    <s v="Medical"/>
    <n v="3"/>
    <x v="0"/>
    <n v="51"/>
    <n v="3"/>
    <x v="0"/>
    <x v="0"/>
    <x v="3"/>
    <x v="1"/>
    <n v="8253"/>
    <n v="19047"/>
    <n v="5"/>
    <s v="No"/>
    <n v="19"/>
    <n v="3"/>
    <n v="2"/>
    <n v="0"/>
    <n v="28"/>
    <n v="5"/>
    <n v="3"/>
    <n v="5"/>
    <n v="1"/>
    <n v="2"/>
    <n v="0"/>
  </r>
  <r>
    <s v="Raymond Baker"/>
    <n v="47"/>
    <x v="2"/>
    <s v="No"/>
    <x v="0"/>
    <s v="Travel_Frequently"/>
    <n v="662"/>
    <x v="0"/>
    <n v="6"/>
    <n v="3"/>
    <s v="Medical"/>
    <n v="3"/>
    <x v="0"/>
    <n v="48"/>
    <n v="1"/>
    <x v="0"/>
    <x v="2"/>
    <x v="0"/>
    <x v="1"/>
    <n v="7595"/>
    <n v="19833"/>
    <n v="0"/>
    <s v="No"/>
    <n v="17"/>
    <n v="3"/>
    <n v="4"/>
    <n v="2"/>
    <n v="26"/>
    <n v="2"/>
    <n v="3"/>
    <n v="5"/>
    <n v="0"/>
    <n v="0"/>
    <n v="1"/>
  </r>
  <r>
    <s v="Rachel Wilson"/>
    <n v="34"/>
    <x v="1"/>
    <s v="No"/>
    <x v="0"/>
    <s v="Travel_Rarely"/>
    <n v="295"/>
    <x v="0"/>
    <n v="1"/>
    <n v="2"/>
    <s v="Medical"/>
    <n v="3"/>
    <x v="1"/>
    <n v="79"/>
    <n v="3"/>
    <x v="3"/>
    <x v="3"/>
    <x v="3"/>
    <x v="1"/>
    <n v="5697"/>
    <n v="6000"/>
    <n v="4"/>
    <s v="No"/>
    <n v="22"/>
    <n v="3"/>
    <n v="4"/>
    <n v="2"/>
    <n v="10"/>
    <n v="1"/>
    <n v="3"/>
    <n v="0"/>
    <n v="0"/>
    <n v="0"/>
    <n v="0"/>
  </r>
  <r>
    <s v="Ronald Flores"/>
    <n v="41"/>
    <x v="0"/>
    <s v="No"/>
    <x v="0"/>
    <s v="Travel_Rarely"/>
    <n v="522"/>
    <x v="0"/>
    <n v="27"/>
    <n v="4"/>
    <s v="Medical"/>
    <n v="2"/>
    <x v="0"/>
    <n v="78"/>
    <n v="3"/>
    <x v="3"/>
    <x v="0"/>
    <x v="3"/>
    <x v="1"/>
    <n v="6325"/>
    <n v="23008"/>
    <n v="1"/>
    <s v="No"/>
    <n v="11"/>
    <n v="3"/>
    <n v="4"/>
    <n v="1"/>
    <n v="17"/>
    <n v="3"/>
    <n v="3"/>
    <n v="1"/>
    <n v="0"/>
    <n v="1"/>
    <n v="1"/>
  </r>
  <r>
    <s v="Patricia Robinson"/>
    <n v="18"/>
    <x v="4"/>
    <s v="Yes"/>
    <x v="1"/>
    <s v="Travel_Frequently"/>
    <n v="326"/>
    <x v="1"/>
    <n v="1"/>
    <n v="4"/>
    <s v="Life Sciences"/>
    <n v="2"/>
    <x v="1"/>
    <n v="35"/>
    <n v="3"/>
    <x v="3"/>
    <x v="1"/>
    <x v="3"/>
    <x v="1"/>
    <n v="3114"/>
    <n v="17795"/>
    <n v="5"/>
    <s v="Yes"/>
    <n v="11"/>
    <n v="3"/>
    <n v="1"/>
    <n v="1"/>
    <n v="0"/>
    <n v="1"/>
    <n v="3"/>
    <n v="0"/>
    <n v="0"/>
    <n v="0"/>
    <n v="0"/>
  </r>
  <r>
    <s v="Richard Gonzalez"/>
    <n v="18"/>
    <x v="4"/>
    <s v="No"/>
    <x v="0"/>
    <s v="Travel_Rarely"/>
    <n v="1252"/>
    <x v="0"/>
    <n v="18"/>
    <n v="3"/>
    <s v="Other"/>
    <n v="1"/>
    <x v="0"/>
    <n v="92"/>
    <n v="3"/>
    <x v="0"/>
    <x v="1"/>
    <x v="3"/>
    <x v="0"/>
    <n v="4826"/>
    <n v="12102"/>
    <n v="4"/>
    <s v="No"/>
    <n v="18"/>
    <n v="3"/>
    <n v="4"/>
    <n v="0"/>
    <n v="0"/>
    <n v="5"/>
    <n v="2"/>
    <n v="0"/>
    <n v="0"/>
    <n v="0"/>
    <n v="0"/>
  </r>
  <r>
    <s v="Samantha Robinson"/>
    <n v="39"/>
    <x v="0"/>
    <s v="No"/>
    <x v="0"/>
    <s v="Travel_Rarely"/>
    <n v="406"/>
    <x v="1"/>
    <n v="2"/>
    <n v="3"/>
    <s v="Life Sciences"/>
    <n v="4"/>
    <x v="1"/>
    <n v="76"/>
    <n v="3"/>
    <x v="4"/>
    <x v="6"/>
    <x v="3"/>
    <x v="2"/>
    <n v="9691"/>
    <n v="7433"/>
    <n v="1"/>
    <s v="Yes"/>
    <n v="14"/>
    <n v="3"/>
    <n v="2"/>
    <n v="1"/>
    <n v="16"/>
    <n v="5"/>
    <n v="1"/>
    <n v="10"/>
    <n v="6"/>
    <n v="1"/>
    <n v="0"/>
  </r>
  <r>
    <s v="David Hill"/>
    <n v="34"/>
    <x v="1"/>
    <s v="No"/>
    <x v="0"/>
    <s v="Travel_Rarely"/>
    <n v="318"/>
    <x v="2"/>
    <n v="11"/>
    <n v="1"/>
    <s v="Other"/>
    <n v="3"/>
    <x v="1"/>
    <n v="52"/>
    <n v="3"/>
    <x v="0"/>
    <x v="8"/>
    <x v="0"/>
    <x v="0"/>
    <n v="7323"/>
    <n v="22058"/>
    <n v="1"/>
    <s v="Yes"/>
    <n v="16"/>
    <n v="3"/>
    <n v="3"/>
    <n v="0"/>
    <n v="10"/>
    <n v="2"/>
    <n v="1"/>
    <n v="3"/>
    <n v="3"/>
    <n v="3"/>
    <n v="0"/>
  </r>
  <r>
    <s v="Stephen Perez"/>
    <n v="44"/>
    <x v="0"/>
    <s v="No"/>
    <x v="0"/>
    <s v="Travel_Rarely"/>
    <n v="1326"/>
    <x v="1"/>
    <n v="6"/>
    <n v="3"/>
    <s v="Medical"/>
    <n v="4"/>
    <x v="1"/>
    <n v="82"/>
    <n v="3"/>
    <x v="0"/>
    <x v="7"/>
    <x v="1"/>
    <x v="1"/>
    <n v="6159"/>
    <n v="20146"/>
    <n v="1"/>
    <s v="No"/>
    <n v="16"/>
    <n v="4"/>
    <n v="2"/>
    <n v="0"/>
    <n v="22"/>
    <n v="2"/>
    <n v="4"/>
    <n v="6"/>
    <n v="1"/>
    <n v="0"/>
    <n v="0"/>
  </r>
  <r>
    <s v="Brian Ramirez"/>
    <n v="30"/>
    <x v="1"/>
    <s v="No"/>
    <x v="0"/>
    <s v="Travel_Rarely"/>
    <n v="704"/>
    <x v="1"/>
    <n v="19"/>
    <n v="1"/>
    <s v="Medical"/>
    <n v="4"/>
    <x v="1"/>
    <n v="51"/>
    <n v="3"/>
    <x v="0"/>
    <x v="1"/>
    <x v="0"/>
    <x v="1"/>
    <n v="7157"/>
    <n v="16567"/>
    <n v="3"/>
    <s v="No"/>
    <n v="15"/>
    <n v="3"/>
    <n v="2"/>
    <n v="2"/>
    <n v="8"/>
    <n v="4"/>
    <n v="2"/>
    <n v="6"/>
    <n v="5"/>
    <n v="4"/>
    <n v="2"/>
  </r>
  <r>
    <s v="Linda Moore"/>
    <n v="44"/>
    <x v="0"/>
    <s v="No"/>
    <x v="0"/>
    <s v="Travel_Rarely"/>
    <n v="440"/>
    <x v="0"/>
    <n v="7"/>
    <n v="3"/>
    <s v="Life Sciences"/>
    <n v="1"/>
    <x v="0"/>
    <n v="78"/>
    <n v="3"/>
    <x v="0"/>
    <x v="1"/>
    <x v="1"/>
    <x v="1"/>
    <n v="7253"/>
    <n v="19087"/>
    <n v="2"/>
    <s v="No"/>
    <n v="17"/>
    <n v="3"/>
    <n v="3"/>
    <n v="1"/>
    <n v="22"/>
    <n v="3"/>
    <n v="3"/>
    <n v="3"/>
    <n v="1"/>
    <n v="1"/>
    <n v="2"/>
  </r>
  <r>
    <s v="Anna Torres"/>
    <n v="24"/>
    <x v="4"/>
    <s v="No"/>
    <x v="0"/>
    <s v="Travel_Frequently"/>
    <n v="949"/>
    <x v="1"/>
    <n v="2"/>
    <n v="3"/>
    <s v="Marketing"/>
    <n v="3"/>
    <x v="0"/>
    <n v="47"/>
    <n v="3"/>
    <x v="3"/>
    <x v="6"/>
    <x v="0"/>
    <x v="2"/>
    <n v="3930"/>
    <n v="6033"/>
    <n v="1"/>
    <s v="No"/>
    <n v="12"/>
    <n v="3"/>
    <n v="3"/>
    <n v="1"/>
    <n v="0"/>
    <n v="2"/>
    <n v="3"/>
    <n v="0"/>
    <n v="0"/>
    <n v="0"/>
    <n v="0"/>
  </r>
  <r>
    <s v="Timothy Adams"/>
    <n v="37"/>
    <x v="0"/>
    <s v="No"/>
    <x v="0"/>
    <s v="Travel_Rarely"/>
    <n v="1417"/>
    <x v="0"/>
    <n v="8"/>
    <n v="2"/>
    <s v="Technical Degree"/>
    <n v="3"/>
    <x v="0"/>
    <n v="57"/>
    <n v="3"/>
    <x v="0"/>
    <x v="5"/>
    <x v="0"/>
    <x v="0"/>
    <n v="7342"/>
    <n v="12516"/>
    <n v="4"/>
    <s v="No"/>
    <n v="11"/>
    <n v="3"/>
    <n v="4"/>
    <n v="1"/>
    <n v="20"/>
    <n v="3"/>
    <n v="3"/>
    <n v="8"/>
    <n v="2"/>
    <n v="3"/>
    <n v="8"/>
  </r>
  <r>
    <s v="Carol Robinson"/>
    <n v="51"/>
    <x v="2"/>
    <s v="No"/>
    <x v="0"/>
    <s v="Travel_Rarely"/>
    <n v="424"/>
    <x v="0"/>
    <n v="1"/>
    <n v="3"/>
    <s v="Technical Degree"/>
    <n v="4"/>
    <x v="1"/>
    <n v="37"/>
    <n v="2"/>
    <x v="4"/>
    <x v="4"/>
    <x v="1"/>
    <x v="1"/>
    <n v="11249"/>
    <n v="2929"/>
    <n v="3"/>
    <s v="Yes"/>
    <n v="11"/>
    <n v="3"/>
    <n v="4"/>
    <n v="2"/>
    <n v="30"/>
    <n v="2"/>
    <n v="3"/>
    <n v="13"/>
    <n v="1"/>
    <n v="0"/>
    <n v="0"/>
  </r>
  <r>
    <s v="Anthony Smith"/>
    <n v="22"/>
    <x v="4"/>
    <s v="No"/>
    <x v="0"/>
    <s v="Travel_Rarely"/>
    <n v="773"/>
    <x v="0"/>
    <n v="3"/>
    <n v="4"/>
    <s v="Medical"/>
    <n v="3"/>
    <x v="0"/>
    <n v="82"/>
    <n v="2"/>
    <x v="3"/>
    <x v="5"/>
    <x v="1"/>
    <x v="1"/>
    <n v="3783"/>
    <n v="7498"/>
    <n v="1"/>
    <s v="No"/>
    <n v="16"/>
    <n v="3"/>
    <n v="4"/>
    <n v="2"/>
    <n v="0"/>
    <n v="3"/>
    <n v="3"/>
    <n v="0"/>
    <n v="0"/>
    <n v="0"/>
    <n v="0"/>
  </r>
  <r>
    <s v="Gary Thompson"/>
    <n v="42"/>
    <x v="0"/>
    <s v="No"/>
    <x v="0"/>
    <s v="Travel_Rarely"/>
    <n v="494"/>
    <x v="1"/>
    <n v="4"/>
    <n v="4"/>
    <s v="Medical"/>
    <n v="3"/>
    <x v="1"/>
    <n v="34"/>
    <n v="2"/>
    <x v="0"/>
    <x v="6"/>
    <x v="0"/>
    <x v="0"/>
    <n v="6819"/>
    <n v="3207"/>
    <n v="3"/>
    <s v="Yes"/>
    <n v="14"/>
    <n v="4"/>
    <n v="3"/>
    <n v="0"/>
    <n v="18"/>
    <n v="3"/>
    <n v="3"/>
    <n v="7"/>
    <n v="0"/>
    <n v="3"/>
    <n v="3"/>
  </r>
  <r>
    <s v="Jerry Gonzalez"/>
    <n v="60"/>
    <x v="3"/>
    <s v="Yes"/>
    <x v="1"/>
    <s v="Travel_Rarely"/>
    <n v="386"/>
    <x v="0"/>
    <n v="11"/>
    <n v="4"/>
    <s v="Other"/>
    <n v="3"/>
    <x v="1"/>
    <n v="51"/>
    <n v="4"/>
    <x v="4"/>
    <x v="5"/>
    <x v="0"/>
    <x v="2"/>
    <n v="11449"/>
    <n v="5420"/>
    <n v="4"/>
    <s v="Yes"/>
    <n v="11"/>
    <n v="3"/>
    <n v="4"/>
    <n v="0"/>
    <n v="37"/>
    <n v="5"/>
    <n v="2"/>
    <n v="5"/>
    <n v="5"/>
    <n v="0"/>
    <n v="0"/>
  </r>
  <r>
    <s v="Michael Green"/>
    <n v="31"/>
    <x v="1"/>
    <s v="No"/>
    <x v="0"/>
    <s v="Travel_Rarely"/>
    <n v="1413"/>
    <x v="1"/>
    <n v="14"/>
    <n v="4"/>
    <s v="Marketing"/>
    <n v="4"/>
    <x v="1"/>
    <n v="74"/>
    <n v="3"/>
    <x v="0"/>
    <x v="7"/>
    <x v="0"/>
    <x v="1"/>
    <n v="6551"/>
    <n v="20514"/>
    <n v="2"/>
    <s v="No"/>
    <n v="14"/>
    <n v="3"/>
    <n v="1"/>
    <n v="1"/>
    <n v="9"/>
    <n v="1"/>
    <n v="2"/>
    <n v="5"/>
    <n v="0"/>
    <n v="1"/>
    <n v="0"/>
  </r>
  <r>
    <s v="Paul Nelson"/>
    <n v="32"/>
    <x v="1"/>
    <s v="No"/>
    <x v="0"/>
    <s v="Travel_Frequently"/>
    <n v="1137"/>
    <x v="1"/>
    <n v="1"/>
    <n v="3"/>
    <s v="Life Sciences"/>
    <n v="4"/>
    <x v="0"/>
    <n v="79"/>
    <n v="3"/>
    <x v="0"/>
    <x v="1"/>
    <x v="0"/>
    <x v="1"/>
    <n v="8206"/>
    <n v="8555"/>
    <n v="3"/>
    <s v="No"/>
    <n v="17"/>
    <n v="3"/>
    <n v="3"/>
    <n v="0"/>
    <n v="8"/>
    <n v="2"/>
    <n v="2"/>
    <n v="0"/>
    <n v="0"/>
    <n v="0"/>
    <n v="0"/>
  </r>
  <r>
    <s v="Janet Hill"/>
    <n v="43"/>
    <x v="0"/>
    <s v="No"/>
    <x v="0"/>
    <s v="Travel_Rarely"/>
    <n v="790"/>
    <x v="1"/>
    <n v="3"/>
    <n v="3"/>
    <s v="Medical"/>
    <n v="4"/>
    <x v="0"/>
    <n v="66"/>
    <n v="4"/>
    <x v="1"/>
    <x v="7"/>
    <x v="2"/>
    <x v="2"/>
    <n v="9598"/>
    <n v="12640"/>
    <n v="2"/>
    <s v="No"/>
    <n v="11"/>
    <n v="3"/>
    <n v="4"/>
    <n v="1"/>
    <n v="22"/>
    <n v="4"/>
    <n v="3"/>
    <n v="16"/>
    <n v="0"/>
    <n v="5"/>
    <n v="5"/>
  </r>
  <r>
    <s v="Sarah Garcia"/>
    <n v="33"/>
    <x v="1"/>
    <s v="Yes"/>
    <x v="1"/>
    <s v="Travel_Rarely"/>
    <n v="1223"/>
    <x v="1"/>
    <n v="4"/>
    <n v="3"/>
    <s v="Medical"/>
    <n v="3"/>
    <x v="0"/>
    <n v="74"/>
    <n v="2"/>
    <x v="3"/>
    <x v="1"/>
    <x v="0"/>
    <x v="2"/>
    <n v="5780"/>
    <n v="20156"/>
    <n v="4"/>
    <s v="No"/>
    <n v="14"/>
    <n v="3"/>
    <n v="2"/>
    <n v="0"/>
    <n v="11"/>
    <n v="3"/>
    <n v="3"/>
    <n v="1"/>
    <n v="1"/>
    <n v="0"/>
    <n v="0"/>
  </r>
  <r>
    <s v="Samantha Roberts"/>
    <n v="43"/>
    <x v="0"/>
    <s v="No"/>
    <x v="0"/>
    <s v="Travel_Rarely"/>
    <n v="329"/>
    <x v="1"/>
    <n v="1"/>
    <n v="1"/>
    <s v="Marketing"/>
    <n v="4"/>
    <x v="0"/>
    <n v="94"/>
    <n v="3"/>
    <x v="3"/>
    <x v="6"/>
    <x v="2"/>
    <x v="1"/>
    <n v="5625"/>
    <n v="22307"/>
    <n v="1"/>
    <s v="Yes"/>
    <n v="16"/>
    <n v="3"/>
    <n v="1"/>
    <n v="1"/>
    <n v="19"/>
    <n v="1"/>
    <n v="3"/>
    <n v="3"/>
    <n v="2"/>
    <n v="1"/>
    <n v="2"/>
  </r>
  <r>
    <s v="Jason Gonzalez"/>
    <n v="29"/>
    <x v="1"/>
    <s v="No"/>
    <x v="0"/>
    <s v="Travel_Rarely"/>
    <n v="256"/>
    <x v="0"/>
    <n v="6"/>
    <n v="3"/>
    <s v="Life Sciences"/>
    <n v="4"/>
    <x v="1"/>
    <n v="57"/>
    <n v="4"/>
    <x v="0"/>
    <x v="2"/>
    <x v="0"/>
    <x v="1"/>
    <n v="6628"/>
    <n v="21660"/>
    <n v="2"/>
    <s v="Yes"/>
    <n v="16"/>
    <n v="4"/>
    <n v="4"/>
    <n v="1"/>
    <n v="8"/>
    <n v="1"/>
    <n v="3"/>
    <n v="8"/>
    <n v="3"/>
    <n v="1"/>
    <n v="5"/>
  </r>
  <r>
    <s v="Patrick Mitchell"/>
    <n v="26"/>
    <x v="1"/>
    <s v="Yes"/>
    <x v="1"/>
    <s v="Non-Travel"/>
    <n v="460"/>
    <x v="1"/>
    <n v="8"/>
    <n v="2"/>
    <s v="Life Sciences"/>
    <n v="2"/>
    <x v="1"/>
    <n v="83"/>
    <n v="3"/>
    <x v="3"/>
    <x v="1"/>
    <x v="0"/>
    <x v="1"/>
    <n v="4394"/>
    <n v="3696"/>
    <n v="1"/>
    <s v="Yes"/>
    <n v="15"/>
    <n v="3"/>
    <n v="3"/>
    <n v="3"/>
    <n v="2"/>
    <n v="3"/>
    <n v="3"/>
    <n v="2"/>
    <n v="2"/>
    <n v="0"/>
    <n v="2"/>
  </r>
  <r>
    <s v="Donna Martinez"/>
    <n v="33"/>
    <x v="1"/>
    <s v="No"/>
    <x v="0"/>
    <s v="Non-Travel"/>
    <n v="1370"/>
    <x v="0"/>
    <n v="9"/>
    <n v="5"/>
    <s v="Life Sciences"/>
    <n v="4"/>
    <x v="1"/>
    <n v="37"/>
    <n v="3"/>
    <x v="4"/>
    <x v="3"/>
    <x v="0"/>
    <x v="0"/>
    <n v="8923"/>
    <n v="21596"/>
    <n v="1"/>
    <s v="No"/>
    <n v="15"/>
    <n v="3"/>
    <n v="4"/>
    <n v="2"/>
    <n v="12"/>
    <n v="2"/>
    <n v="3"/>
    <n v="12"/>
    <n v="2"/>
    <n v="0"/>
    <n v="1"/>
  </r>
  <r>
    <s v="Rachel Perez"/>
    <n v="32"/>
    <x v="1"/>
    <s v="No"/>
    <x v="0"/>
    <s v="Travel_Rarely"/>
    <n v="817"/>
    <x v="0"/>
    <n v="4"/>
    <n v="2"/>
    <s v="Medical"/>
    <n v="4"/>
    <x v="0"/>
    <n v="46"/>
    <n v="2"/>
    <x v="4"/>
    <x v="3"/>
    <x v="0"/>
    <x v="2"/>
    <n v="8273"/>
    <n v="22753"/>
    <n v="6"/>
    <s v="No"/>
    <n v="12"/>
    <n v="3"/>
    <n v="2"/>
    <n v="3"/>
    <n v="10"/>
    <n v="6"/>
    <n v="4"/>
    <n v="10"/>
    <n v="0"/>
    <n v="4"/>
    <n v="0"/>
  </r>
  <r>
    <s v="John Ramirez"/>
    <n v="41"/>
    <x v="0"/>
    <s v="No"/>
    <x v="0"/>
    <s v="Travel_Rarely"/>
    <n v="1023"/>
    <x v="0"/>
    <n v="23"/>
    <n v="4"/>
    <s v="Other"/>
    <n v="1"/>
    <x v="1"/>
    <n v="97"/>
    <n v="3"/>
    <x v="4"/>
    <x v="5"/>
    <x v="0"/>
    <x v="0"/>
    <n v="10478"/>
    <n v="18654"/>
    <n v="2"/>
    <s v="No"/>
    <n v="13"/>
    <n v="3"/>
    <n v="4"/>
    <n v="2"/>
    <n v="24"/>
    <n v="1"/>
    <n v="3"/>
    <n v="13"/>
    <n v="1"/>
    <n v="3"/>
    <n v="1"/>
  </r>
  <r>
    <s v="Scott Adams"/>
    <n v="43"/>
    <x v="0"/>
    <s v="No"/>
    <x v="0"/>
    <s v="Travel_Rarely"/>
    <n v="305"/>
    <x v="1"/>
    <n v="2"/>
    <n v="3"/>
    <s v="Marketing"/>
    <n v="4"/>
    <x v="0"/>
    <n v="86"/>
    <n v="4"/>
    <x v="3"/>
    <x v="1"/>
    <x v="3"/>
    <x v="2"/>
    <n v="6299"/>
    <n v="22975"/>
    <n v="4"/>
    <s v="Yes"/>
    <n v="11"/>
    <n v="3"/>
    <n v="4"/>
    <n v="2"/>
    <n v="15"/>
    <n v="6"/>
    <n v="3"/>
    <n v="1"/>
    <n v="0"/>
    <n v="1"/>
    <n v="1"/>
  </r>
  <r>
    <s v="Nicole Miller"/>
    <n v="45"/>
    <x v="2"/>
    <s v="Yes"/>
    <x v="1"/>
    <s v="Travel_Rarely"/>
    <n v="1199"/>
    <x v="0"/>
    <n v="21"/>
    <n v="3"/>
    <s v="Technical Degree"/>
    <n v="1"/>
    <x v="0"/>
    <n v="76"/>
    <n v="3"/>
    <x v="4"/>
    <x v="3"/>
    <x v="0"/>
    <x v="1"/>
    <n v="10075"/>
    <n v="4230"/>
    <n v="6"/>
    <s v="No"/>
    <n v="17"/>
    <n v="4"/>
    <n v="1"/>
    <n v="1"/>
    <n v="24"/>
    <n v="3"/>
    <n v="3"/>
    <n v="10"/>
    <n v="3"/>
    <n v="2"/>
    <n v="1"/>
  </r>
  <r>
    <s v="Maria Perez"/>
    <n v="39"/>
    <x v="0"/>
    <s v="No"/>
    <x v="0"/>
    <s v="Travel_Rarely"/>
    <n v="1114"/>
    <x v="0"/>
    <n v="1"/>
    <n v="3"/>
    <s v="Technical Degree"/>
    <n v="3"/>
    <x v="0"/>
    <n v="80"/>
    <n v="3"/>
    <x v="1"/>
    <x v="0"/>
    <x v="1"/>
    <x v="1"/>
    <n v="11483"/>
    <n v="15521"/>
    <n v="6"/>
    <s v="No"/>
    <n v="14"/>
    <n v="3"/>
    <n v="3"/>
    <n v="0"/>
    <n v="20"/>
    <n v="1"/>
    <n v="4"/>
    <n v="19"/>
    <n v="3"/>
    <n v="6"/>
    <n v="0"/>
  </r>
  <r>
    <s v="Debra Walker"/>
    <n v="34"/>
    <x v="1"/>
    <s v="No"/>
    <x v="0"/>
    <s v="Travel_Rarely"/>
    <n v="780"/>
    <x v="1"/>
    <n v="29"/>
    <n v="3"/>
    <s v="Life Sciences"/>
    <n v="2"/>
    <x v="1"/>
    <n v="98"/>
    <n v="3"/>
    <x v="0"/>
    <x v="7"/>
    <x v="2"/>
    <x v="0"/>
    <n v="6899"/>
    <n v="17441"/>
    <n v="6"/>
    <s v="No"/>
    <n v="15"/>
    <n v="3"/>
    <n v="2"/>
    <n v="1"/>
    <n v="10"/>
    <n v="2"/>
    <n v="2"/>
    <n v="9"/>
    <n v="3"/>
    <n v="0"/>
    <n v="4"/>
  </r>
  <r>
    <s v="Patrick Gonzalez"/>
    <n v="36"/>
    <x v="0"/>
    <s v="No"/>
    <x v="0"/>
    <s v="Travel_Rarely"/>
    <n v="967"/>
    <x v="1"/>
    <n v="2"/>
    <n v="3"/>
    <s v="Medical"/>
    <n v="3"/>
    <x v="0"/>
    <n v="59"/>
    <n v="3"/>
    <x v="3"/>
    <x v="7"/>
    <x v="0"/>
    <x v="1"/>
    <n v="4936"/>
    <n v="22504"/>
    <n v="3"/>
    <s v="No"/>
    <n v="15"/>
    <n v="3"/>
    <n v="2"/>
    <n v="0"/>
    <n v="14"/>
    <n v="5"/>
    <n v="3"/>
    <n v="0"/>
    <n v="0"/>
    <n v="0"/>
    <n v="0"/>
  </r>
  <r>
    <s v="Scott Rivera"/>
    <n v="40"/>
    <x v="0"/>
    <s v="No"/>
    <x v="0"/>
    <s v="Travel_Rarely"/>
    <n v="1489"/>
    <x v="0"/>
    <n v="2"/>
    <n v="5"/>
    <s v="Technical Degree"/>
    <n v="3"/>
    <x v="1"/>
    <n v="98"/>
    <n v="3"/>
    <x v="0"/>
    <x v="0"/>
    <x v="2"/>
    <x v="1"/>
    <n v="7243"/>
    <n v="20730"/>
    <n v="2"/>
    <s v="No"/>
    <n v="14"/>
    <n v="3"/>
    <n v="1"/>
    <n v="0"/>
    <n v="18"/>
    <n v="1"/>
    <n v="4"/>
    <n v="4"/>
    <n v="3"/>
    <n v="2"/>
    <n v="0"/>
  </r>
  <r>
    <s v="Andrew Davis"/>
    <n v="41"/>
    <x v="0"/>
    <s v="Yes"/>
    <x v="1"/>
    <s v="Travel_Rarely"/>
    <n v="519"/>
    <x v="0"/>
    <n v="3"/>
    <n v="1"/>
    <s v="Other"/>
    <n v="3"/>
    <x v="1"/>
    <n v="66"/>
    <n v="2"/>
    <x v="1"/>
    <x v="0"/>
    <x v="2"/>
    <x v="1"/>
    <n v="10174"/>
    <n v="16427"/>
    <n v="5"/>
    <s v="No"/>
    <n v="21"/>
    <n v="3"/>
    <n v="1"/>
    <n v="0"/>
    <n v="16"/>
    <n v="3"/>
    <n v="2"/>
    <n v="15"/>
    <n v="2"/>
    <n v="1"/>
    <n v="0"/>
  </r>
  <r>
    <s v="Debra Adams"/>
    <n v="37"/>
    <x v="0"/>
    <s v="No"/>
    <x v="0"/>
    <s v="Travel_Frequently"/>
    <n v="666"/>
    <x v="0"/>
    <n v="14"/>
    <n v="4"/>
    <s v="Medical"/>
    <n v="1"/>
    <x v="1"/>
    <n v="34"/>
    <n v="3"/>
    <x v="3"/>
    <x v="1"/>
    <x v="0"/>
    <x v="2"/>
    <n v="4496"/>
    <n v="8121"/>
    <n v="2"/>
    <s v="No"/>
    <n v="16"/>
    <n v="4"/>
    <n v="2"/>
    <n v="0"/>
    <n v="12"/>
    <n v="2"/>
    <n v="3"/>
    <n v="3"/>
    <n v="3"/>
    <n v="0"/>
    <n v="3"/>
  </r>
  <r>
    <s v="Jessica Baker"/>
    <n v="18"/>
    <x v="4"/>
    <s v="No"/>
    <x v="0"/>
    <s v="Travel_Rarely"/>
    <n v="214"/>
    <x v="0"/>
    <n v="10"/>
    <n v="3"/>
    <s v="Life Sciences"/>
    <n v="2"/>
    <x v="1"/>
    <n v="65"/>
    <n v="3"/>
    <x v="0"/>
    <x v="1"/>
    <x v="1"/>
    <x v="1"/>
    <n v="5882"/>
    <n v="15545"/>
    <n v="3"/>
    <s v="No"/>
    <n v="11"/>
    <n v="3"/>
    <n v="4"/>
    <n v="1"/>
    <n v="0"/>
    <n v="1"/>
    <n v="3"/>
    <n v="0"/>
    <n v="0"/>
    <n v="0"/>
    <n v="0"/>
  </r>
  <r>
    <s v="Kathleen Jackson"/>
    <n v="29"/>
    <x v="1"/>
    <s v="No"/>
    <x v="0"/>
    <s v="Travel_Frequently"/>
    <n v="916"/>
    <x v="0"/>
    <n v="6"/>
    <n v="3"/>
    <s v="Other"/>
    <n v="3"/>
    <x v="0"/>
    <n v="82"/>
    <n v="1"/>
    <x v="3"/>
    <x v="4"/>
    <x v="2"/>
    <x v="1"/>
    <n v="4441"/>
    <n v="2192"/>
    <n v="2"/>
    <s v="No"/>
    <n v="15"/>
    <n v="3"/>
    <n v="3"/>
    <n v="0"/>
    <n v="8"/>
    <n v="1"/>
    <n v="2"/>
    <n v="0"/>
    <n v="0"/>
    <n v="0"/>
    <n v="0"/>
  </r>
  <r>
    <s v="Shirley Lewis"/>
    <n v="36"/>
    <x v="0"/>
    <s v="No"/>
    <x v="0"/>
    <s v="Travel_Rarely"/>
    <n v="391"/>
    <x v="0"/>
    <n v="15"/>
    <n v="2"/>
    <s v="Medical"/>
    <n v="2"/>
    <x v="0"/>
    <n v="86"/>
    <n v="3"/>
    <x v="1"/>
    <x v="2"/>
    <x v="1"/>
    <x v="2"/>
    <n v="11483"/>
    <n v="13312"/>
    <n v="3"/>
    <s v="No"/>
    <n v="11"/>
    <n v="3"/>
    <n v="1"/>
    <n v="0"/>
    <n v="16"/>
    <n v="5"/>
    <n v="3"/>
    <n v="12"/>
    <n v="1"/>
    <n v="0"/>
    <n v="1"/>
  </r>
  <r>
    <s v="Thomas Garcia"/>
    <n v="42"/>
    <x v="0"/>
    <s v="No"/>
    <x v="0"/>
    <s v="Travel_Frequently"/>
    <n v="682"/>
    <x v="0"/>
    <n v="6"/>
    <n v="4"/>
    <s v="Medical"/>
    <n v="4"/>
    <x v="0"/>
    <n v="38"/>
    <n v="2"/>
    <x v="3"/>
    <x v="5"/>
    <x v="1"/>
    <x v="0"/>
    <n v="6678"/>
    <n v="4942"/>
    <n v="3"/>
    <s v="Yes"/>
    <n v="17"/>
    <n v="3"/>
    <n v="2"/>
    <n v="2"/>
    <n v="17"/>
    <n v="6"/>
    <n v="3"/>
    <n v="0"/>
    <n v="0"/>
    <n v="0"/>
    <n v="0"/>
  </r>
  <r>
    <s v="Emily Wilson"/>
    <n v="28"/>
    <x v="1"/>
    <s v="No"/>
    <x v="0"/>
    <s v="Travel_Frequently"/>
    <n v="1098"/>
    <x v="0"/>
    <n v="9"/>
    <n v="2"/>
    <s v="Technical Degree"/>
    <n v="2"/>
    <x v="1"/>
    <n v="82"/>
    <n v="1"/>
    <x v="3"/>
    <x v="3"/>
    <x v="2"/>
    <x v="1"/>
    <n v="5071"/>
    <n v="3230"/>
    <n v="1"/>
    <s v="No"/>
    <n v="11"/>
    <n v="3"/>
    <n v="1"/>
    <n v="2"/>
    <n v="9"/>
    <n v="2"/>
    <n v="2"/>
    <n v="1"/>
    <n v="1"/>
    <n v="1"/>
    <n v="1"/>
  </r>
  <r>
    <s v="Steven White"/>
    <n v="33"/>
    <x v="1"/>
    <s v="Yes"/>
    <x v="1"/>
    <s v="Travel_Frequently"/>
    <n v="880"/>
    <x v="0"/>
    <n v="8"/>
    <n v="3"/>
    <s v="Medical"/>
    <n v="2"/>
    <x v="0"/>
    <n v="64"/>
    <n v="3"/>
    <x v="3"/>
    <x v="1"/>
    <x v="3"/>
    <x v="1"/>
    <n v="3452"/>
    <n v="15299"/>
    <n v="6"/>
    <s v="No"/>
    <n v="17"/>
    <n v="3"/>
    <n v="1"/>
    <n v="2"/>
    <n v="13"/>
    <n v="2"/>
    <n v="4"/>
    <n v="0"/>
    <n v="0"/>
    <n v="0"/>
    <n v="0"/>
  </r>
  <r>
    <s v="Ruth King"/>
    <n v="35"/>
    <x v="0"/>
    <s v="No"/>
    <x v="0"/>
    <s v="Travel_Rarely"/>
    <n v="1236"/>
    <x v="0"/>
    <n v="10"/>
    <n v="3"/>
    <s v="Technical Degree"/>
    <n v="3"/>
    <x v="0"/>
    <n v="71"/>
    <n v="1"/>
    <x v="0"/>
    <x v="4"/>
    <x v="3"/>
    <x v="1"/>
    <n v="6659"/>
    <n v="21923"/>
    <n v="4"/>
    <s v="No"/>
    <n v="11"/>
    <n v="4"/>
    <n v="3"/>
    <n v="2"/>
    <n v="14"/>
    <n v="5"/>
    <n v="4"/>
    <n v="6"/>
    <n v="0"/>
    <n v="1"/>
    <n v="2"/>
  </r>
  <r>
    <s v="Melissa Green"/>
    <n v="25"/>
    <x v="4"/>
    <s v="Yes"/>
    <x v="1"/>
    <s v="Travel_Rarely"/>
    <n v="759"/>
    <x v="0"/>
    <n v="1"/>
    <n v="1"/>
    <s v="Technical Degree"/>
    <n v="4"/>
    <x v="1"/>
    <n v="37"/>
    <n v="3"/>
    <x v="3"/>
    <x v="2"/>
    <x v="2"/>
    <x v="0"/>
    <n v="4639"/>
    <n v="14583"/>
    <n v="6"/>
    <s v="Yes"/>
    <n v="12"/>
    <n v="3"/>
    <n v="2"/>
    <n v="0"/>
    <n v="7"/>
    <n v="4"/>
    <n v="3"/>
    <n v="3"/>
    <n v="1"/>
    <n v="2"/>
    <n v="3"/>
  </r>
  <r>
    <s v="Carolyn Anderson"/>
    <n v="51"/>
    <x v="2"/>
    <s v="Yes"/>
    <x v="1"/>
    <s v="Travel_Rarely"/>
    <n v="1207"/>
    <x v="1"/>
    <n v="4"/>
    <n v="3"/>
    <s v="Medical"/>
    <n v="2"/>
    <x v="1"/>
    <n v="32"/>
    <n v="3"/>
    <x v="3"/>
    <x v="7"/>
    <x v="3"/>
    <x v="1"/>
    <n v="6644"/>
    <n v="26356"/>
    <n v="3"/>
    <s v="Yes"/>
    <n v="12"/>
    <n v="3"/>
    <n v="2"/>
    <n v="1"/>
    <n v="31"/>
    <n v="4"/>
    <n v="3"/>
    <n v="3"/>
    <n v="3"/>
    <n v="3"/>
    <n v="1"/>
  </r>
  <r>
    <s v="Melissa Adams"/>
    <n v="32"/>
    <x v="1"/>
    <s v="No"/>
    <x v="0"/>
    <s v="Travel_Rarely"/>
    <n v="325"/>
    <x v="0"/>
    <n v="5"/>
    <n v="2"/>
    <s v="Other"/>
    <n v="2"/>
    <x v="1"/>
    <n v="38"/>
    <n v="3"/>
    <x v="0"/>
    <x v="4"/>
    <x v="2"/>
    <x v="1"/>
    <n v="5558"/>
    <n v="7208"/>
    <n v="3"/>
    <s v="No"/>
    <n v="18"/>
    <n v="3"/>
    <n v="4"/>
    <n v="1"/>
    <n v="9"/>
    <n v="6"/>
    <n v="3"/>
    <n v="9"/>
    <n v="1"/>
    <n v="0"/>
    <n v="0"/>
  </r>
  <r>
    <s v="Kevin Allen"/>
    <n v="32"/>
    <x v="1"/>
    <s v="No"/>
    <x v="0"/>
    <s v="Travel_Rarely"/>
    <n v="319"/>
    <x v="0"/>
    <n v="1"/>
    <n v="4"/>
    <s v="Other"/>
    <n v="4"/>
    <x v="1"/>
    <n v="82"/>
    <n v="2"/>
    <x v="0"/>
    <x v="4"/>
    <x v="1"/>
    <x v="0"/>
    <n v="6365"/>
    <n v="11949"/>
    <n v="2"/>
    <s v="No"/>
    <n v="11"/>
    <n v="3"/>
    <n v="4"/>
    <n v="2"/>
    <n v="6"/>
    <n v="5"/>
    <n v="3"/>
    <n v="5"/>
    <n v="2"/>
    <n v="1"/>
    <n v="3"/>
  </r>
  <r>
    <s v="Paul Young"/>
    <n v="59"/>
    <x v="3"/>
    <s v="No"/>
    <x v="0"/>
    <s v="Travel_Rarely"/>
    <n v="1234"/>
    <x v="0"/>
    <n v="1"/>
    <n v="3"/>
    <s v="Life Sciences"/>
    <n v="3"/>
    <x v="0"/>
    <n v="88"/>
    <n v="3"/>
    <x v="3"/>
    <x v="3"/>
    <x v="2"/>
    <x v="1"/>
    <n v="8231"/>
    <n v="23260"/>
    <n v="1"/>
    <s v="No"/>
    <n v="15"/>
    <n v="3"/>
    <n v="4"/>
    <n v="1"/>
    <n v="40"/>
    <n v="2"/>
    <n v="3"/>
    <n v="2"/>
    <n v="0"/>
    <n v="0"/>
    <n v="2"/>
  </r>
  <r>
    <s v="Sharon Hill"/>
    <n v="38"/>
    <x v="0"/>
    <s v="No"/>
    <x v="0"/>
    <s v="Travel_Rarely"/>
    <n v="1052"/>
    <x v="1"/>
    <n v="1"/>
    <n v="3"/>
    <s v="Other"/>
    <n v="3"/>
    <x v="1"/>
    <n v="37"/>
    <n v="3"/>
    <x v="3"/>
    <x v="7"/>
    <x v="1"/>
    <x v="2"/>
    <n v="4332"/>
    <n v="26647"/>
    <n v="1"/>
    <s v="No"/>
    <n v="16"/>
    <n v="3"/>
    <n v="3"/>
    <n v="2"/>
    <n v="11"/>
    <n v="3"/>
    <n v="3"/>
    <n v="0"/>
    <n v="0"/>
    <n v="0"/>
    <n v="0"/>
  </r>
  <r>
    <s v="Charles Martinez"/>
    <n v="29"/>
    <x v="1"/>
    <s v="No"/>
    <x v="0"/>
    <s v="Travel_Rarely"/>
    <n v="1341"/>
    <x v="0"/>
    <n v="2"/>
    <n v="3"/>
    <s v="Other"/>
    <n v="4"/>
    <x v="0"/>
    <n v="78"/>
    <n v="2"/>
    <x v="3"/>
    <x v="0"/>
    <x v="2"/>
    <x v="1"/>
    <n v="4514"/>
    <n v="13939"/>
    <n v="1"/>
    <s v="Yes"/>
    <n v="23"/>
    <n v="3"/>
    <n v="4"/>
    <n v="3"/>
    <n v="6"/>
    <n v="0"/>
    <n v="3"/>
    <n v="0"/>
    <n v="0"/>
    <n v="0"/>
    <n v="0"/>
  </r>
  <r>
    <s v="Pamela Wilson"/>
    <n v="32"/>
    <x v="1"/>
    <s v="No"/>
    <x v="0"/>
    <s v="Travel_Rarely"/>
    <n v="1128"/>
    <x v="1"/>
    <n v="7"/>
    <n v="2"/>
    <s v="Other"/>
    <n v="3"/>
    <x v="1"/>
    <n v="96"/>
    <n v="3"/>
    <x v="3"/>
    <x v="6"/>
    <x v="2"/>
    <x v="0"/>
    <n v="5243"/>
    <n v="21738"/>
    <n v="3"/>
    <s v="No"/>
    <n v="15"/>
    <n v="3"/>
    <n v="3"/>
    <n v="0"/>
    <n v="7"/>
    <n v="0"/>
    <n v="3"/>
    <n v="0"/>
    <n v="0"/>
    <n v="0"/>
    <n v="0"/>
  </r>
  <r>
    <s v="Debra Baker"/>
    <n v="32"/>
    <x v="1"/>
    <s v="No"/>
    <x v="0"/>
    <s v="Travel_Frequently"/>
    <n v="1235"/>
    <x v="0"/>
    <n v="10"/>
    <n v="2"/>
    <s v="Medical"/>
    <n v="4"/>
    <x v="0"/>
    <n v="76"/>
    <n v="3"/>
    <x v="3"/>
    <x v="2"/>
    <x v="0"/>
    <x v="1"/>
    <n v="5475"/>
    <n v="10662"/>
    <n v="2"/>
    <s v="Yes"/>
    <n v="15"/>
    <n v="3"/>
    <n v="1"/>
    <n v="1"/>
    <n v="9"/>
    <n v="6"/>
    <n v="3"/>
    <n v="4"/>
    <n v="1"/>
    <n v="1"/>
    <n v="1"/>
  </r>
  <r>
    <s v="Mary Young"/>
    <n v="50"/>
    <x v="2"/>
    <s v="No"/>
    <x v="0"/>
    <s v="Travel_Rarely"/>
    <n v="377"/>
    <x v="1"/>
    <n v="1"/>
    <n v="1"/>
    <s v="Medical"/>
    <n v="4"/>
    <x v="0"/>
    <n v="69"/>
    <n v="2"/>
    <x v="0"/>
    <x v="7"/>
    <x v="3"/>
    <x v="1"/>
    <n v="8471"/>
    <n v="12350"/>
    <n v="4"/>
    <s v="No"/>
    <n v="13"/>
    <n v="4"/>
    <n v="1"/>
    <n v="1"/>
    <n v="29"/>
    <n v="4"/>
    <n v="3"/>
    <n v="5"/>
    <n v="1"/>
    <n v="5"/>
    <n v="5"/>
  </r>
  <r>
    <s v="Joseph Taylor"/>
    <n v="34"/>
    <x v="1"/>
    <s v="No"/>
    <x v="0"/>
    <s v="Travel_Frequently"/>
    <n v="1372"/>
    <x v="0"/>
    <n v="1"/>
    <n v="2"/>
    <s v="Medical"/>
    <n v="3"/>
    <x v="0"/>
    <n v="43"/>
    <n v="1"/>
    <x v="3"/>
    <x v="5"/>
    <x v="1"/>
    <x v="1"/>
    <n v="3462"/>
    <n v="16719"/>
    <n v="3"/>
    <s v="No"/>
    <n v="18"/>
    <n v="3"/>
    <n v="3"/>
    <n v="0"/>
    <n v="11"/>
    <n v="2"/>
    <n v="4"/>
    <n v="0"/>
    <n v="0"/>
    <n v="0"/>
    <n v="0"/>
  </r>
  <r>
    <s v="Edward Sanchez"/>
    <n v="51"/>
    <x v="2"/>
    <s v="No"/>
    <x v="0"/>
    <s v="Travel_Rarely"/>
    <n v="682"/>
    <x v="0"/>
    <n v="2"/>
    <n v="2"/>
    <s v="Life Sciences"/>
    <n v="3"/>
    <x v="0"/>
    <n v="86"/>
    <n v="3"/>
    <x v="3"/>
    <x v="4"/>
    <x v="0"/>
    <x v="1"/>
    <n v="7264"/>
    <n v="9119"/>
    <n v="3"/>
    <s v="Yes"/>
    <n v="13"/>
    <n v="3"/>
    <n v="3"/>
    <n v="0"/>
    <n v="28"/>
    <n v="6"/>
    <n v="3"/>
    <n v="4"/>
    <n v="0"/>
    <n v="4"/>
    <n v="0"/>
  </r>
  <r>
    <s v="Kimberly Perez"/>
    <n v="35"/>
    <x v="0"/>
    <s v="No"/>
    <x v="0"/>
    <s v="Travel_Frequently"/>
    <n v="1101"/>
    <x v="0"/>
    <n v="9"/>
    <n v="4"/>
    <s v="Life Sciences"/>
    <n v="1"/>
    <x v="1"/>
    <n v="32"/>
    <n v="3"/>
    <x v="3"/>
    <x v="2"/>
    <x v="2"/>
    <x v="1"/>
    <n v="4284"/>
    <n v="15704"/>
    <n v="2"/>
    <s v="No"/>
    <n v="22"/>
    <n v="4"/>
    <n v="2"/>
    <n v="1"/>
    <n v="13"/>
    <n v="2"/>
    <n v="3"/>
    <n v="2"/>
    <n v="0"/>
    <n v="0"/>
    <n v="2"/>
  </r>
  <r>
    <s v="Christine Jackson"/>
    <n v="42"/>
    <x v="0"/>
    <s v="No"/>
    <x v="0"/>
    <s v="Travel_Frequently"/>
    <n v="582"/>
    <x v="1"/>
    <n v="1"/>
    <n v="1"/>
    <s v="Marketing"/>
    <n v="2"/>
    <x v="1"/>
    <n v="88"/>
    <n v="3"/>
    <x v="3"/>
    <x v="1"/>
    <x v="2"/>
    <x v="1"/>
    <n v="5445"/>
    <n v="3881"/>
    <n v="3"/>
    <s v="No"/>
    <n v="11"/>
    <n v="3"/>
    <n v="1"/>
    <n v="2"/>
    <n v="21"/>
    <n v="2"/>
    <n v="2"/>
    <n v="2"/>
    <n v="0"/>
    <n v="0"/>
    <n v="2"/>
  </r>
  <r>
    <s v="Nicholas Wilson"/>
    <n v="26"/>
    <x v="1"/>
    <s v="Yes"/>
    <x v="1"/>
    <s v="Travel_Rarely"/>
    <n v="327"/>
    <x v="1"/>
    <n v="1"/>
    <n v="1"/>
    <s v="Life Sciences"/>
    <n v="4"/>
    <x v="0"/>
    <n v="76"/>
    <n v="3"/>
    <x v="0"/>
    <x v="1"/>
    <x v="2"/>
    <x v="0"/>
    <n v="6609"/>
    <n v="14205"/>
    <n v="2"/>
    <s v="Yes"/>
    <n v="18"/>
    <n v="3"/>
    <n v="4"/>
    <n v="1"/>
    <n v="3"/>
    <n v="1"/>
    <n v="3"/>
    <n v="1"/>
    <n v="0"/>
    <n v="1"/>
    <n v="1"/>
  </r>
  <r>
    <s v="Ryan Hernandez"/>
    <n v="46"/>
    <x v="2"/>
    <s v="No"/>
    <x v="0"/>
    <s v="Travel_Rarely"/>
    <n v="377"/>
    <x v="0"/>
    <n v="2"/>
    <n v="3"/>
    <s v="Life Sciences"/>
    <n v="4"/>
    <x v="0"/>
    <n v="87"/>
    <n v="3"/>
    <x v="3"/>
    <x v="1"/>
    <x v="0"/>
    <x v="2"/>
    <n v="6005"/>
    <n v="20243"/>
    <n v="2"/>
    <s v="No"/>
    <n v="13"/>
    <n v="4"/>
    <n v="3"/>
    <n v="0"/>
    <n v="22"/>
    <n v="2"/>
    <n v="3"/>
    <n v="0"/>
    <n v="0"/>
    <n v="0"/>
    <n v="0"/>
  </r>
  <r>
    <s v="Timothy Ramirez"/>
    <n v="20"/>
    <x v="4"/>
    <s v="Yes"/>
    <x v="1"/>
    <s v="Travel_Rarely"/>
    <n v="1231"/>
    <x v="0"/>
    <n v="9"/>
    <n v="4"/>
    <s v="Medical"/>
    <n v="4"/>
    <x v="0"/>
    <n v="48"/>
    <n v="1"/>
    <x v="0"/>
    <x v="3"/>
    <x v="0"/>
    <x v="2"/>
    <n v="6197"/>
    <n v="8553"/>
    <n v="1"/>
    <s v="No"/>
    <n v="12"/>
    <n v="3"/>
    <n v="4"/>
    <n v="0"/>
    <n v="0"/>
    <n v="2"/>
    <n v="1"/>
    <n v="0"/>
    <n v="0"/>
    <n v="0"/>
    <n v="0"/>
  </r>
  <r>
    <s v="Mark Rodriguez"/>
    <n v="35"/>
    <x v="0"/>
    <s v="Yes"/>
    <x v="1"/>
    <s v="Travel_Rarely"/>
    <n v="604"/>
    <x v="1"/>
    <n v="1"/>
    <n v="3"/>
    <s v="Other"/>
    <n v="3"/>
    <x v="1"/>
    <n v="77"/>
    <n v="3"/>
    <x v="3"/>
    <x v="6"/>
    <x v="3"/>
    <x v="1"/>
    <n v="5106"/>
    <n v="23267"/>
    <n v="2"/>
    <s v="No"/>
    <n v="13"/>
    <n v="3"/>
    <n v="1"/>
    <n v="1"/>
    <n v="13"/>
    <n v="6"/>
    <n v="3"/>
    <n v="0"/>
    <n v="0"/>
    <n v="0"/>
    <n v="0"/>
  </r>
  <r>
    <s v="Maria Torres"/>
    <n v="38"/>
    <x v="0"/>
    <s v="No"/>
    <x v="0"/>
    <s v="Travel_Frequently"/>
    <n v="809"/>
    <x v="0"/>
    <n v="7"/>
    <n v="5"/>
    <s v="Other"/>
    <n v="4"/>
    <x v="1"/>
    <n v="41"/>
    <n v="3"/>
    <x v="0"/>
    <x v="4"/>
    <x v="0"/>
    <x v="1"/>
    <n v="6303"/>
    <n v="15648"/>
    <n v="2"/>
    <s v="No"/>
    <n v="13"/>
    <n v="3"/>
    <n v="3"/>
    <n v="1"/>
    <n v="15"/>
    <n v="2"/>
    <n v="2"/>
    <n v="2"/>
    <n v="2"/>
    <n v="1"/>
    <n v="2"/>
  </r>
  <r>
    <s v="Catherine Hall"/>
    <n v="28"/>
    <x v="1"/>
    <s v="No"/>
    <x v="0"/>
    <s v="Travel_Rarely"/>
    <n v="665"/>
    <x v="1"/>
    <n v="25"/>
    <n v="4"/>
    <s v="Marketing"/>
    <n v="3"/>
    <x v="0"/>
    <n v="58"/>
    <n v="3"/>
    <x v="0"/>
    <x v="7"/>
    <x v="2"/>
    <x v="0"/>
    <n v="5795"/>
    <n v="16389"/>
    <n v="3"/>
    <s v="Yes"/>
    <n v="13"/>
    <n v="3"/>
    <n v="2"/>
    <n v="2"/>
    <n v="8"/>
    <n v="4"/>
    <n v="2"/>
    <n v="5"/>
    <n v="2"/>
    <n v="0"/>
    <n v="2"/>
  </r>
  <r>
    <s v="Rebecca Nelson"/>
    <n v="41"/>
    <x v="0"/>
    <s v="No"/>
    <x v="0"/>
    <s v="Travel_Rarely"/>
    <n v="398"/>
    <x v="0"/>
    <n v="1"/>
    <n v="2"/>
    <s v="Other"/>
    <n v="3"/>
    <x v="0"/>
    <n v="57"/>
    <n v="3"/>
    <x v="0"/>
    <x v="0"/>
    <x v="2"/>
    <x v="1"/>
    <n v="7356"/>
    <n v="22616"/>
    <n v="1"/>
    <s v="Yes"/>
    <n v="11"/>
    <n v="3"/>
    <n v="2"/>
    <n v="0"/>
    <n v="19"/>
    <n v="0"/>
    <n v="3"/>
    <n v="2"/>
    <n v="1"/>
    <n v="1"/>
    <n v="2"/>
  </r>
  <r>
    <s v="Patrick Davis"/>
    <n v="45"/>
    <x v="2"/>
    <s v="No"/>
    <x v="0"/>
    <s v="Travel_Rarely"/>
    <n v="359"/>
    <x v="0"/>
    <n v="3"/>
    <n v="4"/>
    <s v="Other"/>
    <n v="4"/>
    <x v="1"/>
    <n v="78"/>
    <n v="3"/>
    <x v="0"/>
    <x v="1"/>
    <x v="1"/>
    <x v="2"/>
    <n v="6481"/>
    <n v="16342"/>
    <n v="3"/>
    <s v="Yes"/>
    <n v="19"/>
    <n v="3"/>
    <n v="1"/>
    <n v="1"/>
    <n v="19"/>
    <n v="3"/>
    <n v="3"/>
    <n v="6"/>
    <n v="1"/>
    <n v="0"/>
    <n v="3"/>
  </r>
  <r>
    <s v="Jessica Smith"/>
    <n v="26"/>
    <x v="1"/>
    <s v="Yes"/>
    <x v="1"/>
    <s v="Travel_Rarely"/>
    <n v="919"/>
    <x v="2"/>
    <n v="8"/>
    <n v="3"/>
    <s v="Life Sciences"/>
    <n v="4"/>
    <x v="0"/>
    <n v="62"/>
    <n v="2"/>
    <x v="3"/>
    <x v="1"/>
    <x v="1"/>
    <x v="2"/>
    <n v="2182"/>
    <n v="4560"/>
    <n v="4"/>
    <s v="Yes"/>
    <n v="20"/>
    <n v="3"/>
    <n v="1"/>
    <n v="0"/>
    <n v="0"/>
    <n v="1"/>
    <n v="3"/>
    <n v="0"/>
    <n v="0"/>
    <n v="0"/>
    <n v="0"/>
  </r>
  <r>
    <s v="Samuel Flores"/>
    <n v="44"/>
    <x v="0"/>
    <s v="No"/>
    <x v="0"/>
    <s v="Travel_Rarely"/>
    <n v="1213"/>
    <x v="1"/>
    <n v="4"/>
    <n v="2"/>
    <s v="Medical"/>
    <n v="4"/>
    <x v="0"/>
    <n v="82"/>
    <n v="1"/>
    <x v="0"/>
    <x v="1"/>
    <x v="2"/>
    <x v="0"/>
    <n v="8675"/>
    <n v="3478"/>
    <n v="2"/>
    <s v="No"/>
    <n v="16"/>
    <n v="3"/>
    <n v="3"/>
    <n v="1"/>
    <n v="22"/>
    <n v="3"/>
    <n v="4"/>
    <n v="5"/>
    <n v="0"/>
    <n v="5"/>
    <n v="4"/>
  </r>
  <r>
    <s v="Edward Smith"/>
    <n v="44"/>
    <x v="0"/>
    <s v="No"/>
    <x v="0"/>
    <s v="Travel_Rarely"/>
    <n v="1221"/>
    <x v="0"/>
    <n v="7"/>
    <n v="3"/>
    <s v="Technical Degree"/>
    <n v="3"/>
    <x v="0"/>
    <n v="51"/>
    <n v="3"/>
    <x v="3"/>
    <x v="1"/>
    <x v="2"/>
    <x v="0"/>
    <n v="5218"/>
    <n v="19857"/>
    <n v="4"/>
    <s v="No"/>
    <n v="12"/>
    <n v="3"/>
    <n v="2"/>
    <n v="2"/>
    <n v="21"/>
    <n v="6"/>
    <n v="1"/>
    <n v="0"/>
    <n v="0"/>
    <n v="0"/>
    <n v="0"/>
  </r>
  <r>
    <s v="Brian Martinez"/>
    <n v="35"/>
    <x v="0"/>
    <s v="No"/>
    <x v="0"/>
    <s v="Travel_Rarely"/>
    <n v="1456"/>
    <x v="1"/>
    <n v="1"/>
    <n v="3"/>
    <s v="Life Sciences"/>
    <n v="4"/>
    <x v="0"/>
    <n v="96"/>
    <n v="3"/>
    <x v="3"/>
    <x v="1"/>
    <x v="0"/>
    <x v="0"/>
    <n v="4958"/>
    <n v="21951"/>
    <n v="2"/>
    <s v="No"/>
    <n v="12"/>
    <n v="4"/>
    <n v="4"/>
    <n v="0"/>
    <n v="11"/>
    <n v="1"/>
    <n v="3"/>
    <n v="3"/>
    <n v="2"/>
    <n v="1"/>
    <n v="1"/>
  </r>
  <r>
    <s v="George Wright"/>
    <n v="42"/>
    <x v="0"/>
    <s v="No"/>
    <x v="0"/>
    <s v="Travel_Rarely"/>
    <n v="1091"/>
    <x v="0"/>
    <n v="10"/>
    <n v="4"/>
    <s v="Life Sciences"/>
    <n v="3"/>
    <x v="1"/>
    <n v="97"/>
    <n v="2"/>
    <x v="3"/>
    <x v="2"/>
    <x v="0"/>
    <x v="0"/>
    <n v="5371"/>
    <n v="19197"/>
    <n v="2"/>
    <s v="Yes"/>
    <n v="20"/>
    <n v="4"/>
    <n v="1"/>
    <n v="3"/>
    <n v="21"/>
    <n v="0"/>
    <n v="3"/>
    <n v="0"/>
    <n v="0"/>
    <n v="0"/>
    <n v="0"/>
  </r>
  <r>
    <s v="Edward Baker"/>
    <n v="34"/>
    <x v="1"/>
    <s v="No"/>
    <x v="0"/>
    <s v="Travel_Rarely"/>
    <n v="798"/>
    <x v="1"/>
    <n v="14"/>
    <n v="3"/>
    <s v="Medical"/>
    <n v="4"/>
    <x v="1"/>
    <n v="62"/>
    <n v="3"/>
    <x v="3"/>
    <x v="6"/>
    <x v="2"/>
    <x v="1"/>
    <n v="4205"/>
    <n v="4962"/>
    <n v="4"/>
    <s v="No"/>
    <n v="17"/>
    <n v="4"/>
    <n v="3"/>
    <n v="1"/>
    <n v="10"/>
    <n v="1"/>
    <n v="3"/>
    <n v="2"/>
    <n v="2"/>
    <n v="2"/>
    <n v="2"/>
  </r>
  <r>
    <s v="Jennifer Perez"/>
    <n v="41"/>
    <x v="0"/>
    <s v="No"/>
    <x v="0"/>
    <s v="Travel_Rarely"/>
    <n v="1211"/>
    <x v="0"/>
    <n v="2"/>
    <n v="3"/>
    <s v="Other"/>
    <n v="4"/>
    <x v="0"/>
    <n v="76"/>
    <n v="2"/>
    <x v="0"/>
    <x v="5"/>
    <x v="2"/>
    <x v="0"/>
    <n v="6733"/>
    <n v="6530"/>
    <n v="2"/>
    <s v="No"/>
    <n v="12"/>
    <n v="3"/>
    <n v="3"/>
    <n v="0"/>
    <n v="22"/>
    <n v="4"/>
    <n v="2"/>
    <n v="7"/>
    <n v="3"/>
    <n v="1"/>
    <n v="7"/>
  </r>
  <r>
    <s v="Thomas Adams"/>
    <n v="36"/>
    <x v="0"/>
    <s v="No"/>
    <x v="0"/>
    <s v="Travel_Rarely"/>
    <n v="444"/>
    <x v="0"/>
    <n v="22"/>
    <n v="3"/>
    <s v="Medical"/>
    <n v="2"/>
    <x v="0"/>
    <n v="45"/>
    <n v="3"/>
    <x v="3"/>
    <x v="2"/>
    <x v="1"/>
    <x v="1"/>
    <n v="5241"/>
    <n v="2220"/>
    <n v="4"/>
    <s v="No"/>
    <n v="18"/>
    <n v="3"/>
    <n v="2"/>
    <n v="2"/>
    <n v="13"/>
    <n v="4"/>
    <n v="3"/>
    <n v="1"/>
    <n v="1"/>
    <n v="0"/>
    <n v="1"/>
  </r>
  <r>
    <s v="Barbara Nelson"/>
    <n v="37"/>
    <x v="0"/>
    <s v="No"/>
    <x v="0"/>
    <s v="Travel_Rarely"/>
    <n v="887"/>
    <x v="1"/>
    <n v="1"/>
    <n v="4"/>
    <s v="Medical"/>
    <n v="4"/>
    <x v="0"/>
    <n v="47"/>
    <n v="3"/>
    <x v="0"/>
    <x v="1"/>
    <x v="1"/>
    <x v="0"/>
    <n v="6643"/>
    <n v="19006"/>
    <n v="0"/>
    <s v="No"/>
    <n v="18"/>
    <n v="3"/>
    <n v="2"/>
    <n v="1"/>
    <n v="12"/>
    <n v="5"/>
    <n v="2"/>
    <n v="6"/>
    <n v="3"/>
    <n v="3"/>
    <n v="6"/>
  </r>
  <r>
    <s v="Steven Green"/>
    <n v="55"/>
    <x v="3"/>
    <s v="No"/>
    <x v="0"/>
    <s v="Travel_Frequently"/>
    <n v="831"/>
    <x v="1"/>
    <n v="3"/>
    <n v="1"/>
    <s v="Other"/>
    <n v="2"/>
    <x v="1"/>
    <n v="99"/>
    <n v="3"/>
    <x v="3"/>
    <x v="7"/>
    <x v="1"/>
    <x v="1"/>
    <n v="6867"/>
    <n v="13970"/>
    <n v="1"/>
    <s v="No"/>
    <n v="16"/>
    <n v="3"/>
    <n v="4"/>
    <n v="0"/>
    <n v="33"/>
    <n v="3"/>
    <n v="4"/>
    <n v="2"/>
    <n v="2"/>
    <n v="0"/>
    <n v="0"/>
  </r>
  <r>
    <s v="Andrew Garcia"/>
    <n v="35"/>
    <x v="0"/>
    <s v="No"/>
    <x v="0"/>
    <s v="Travel_Rarely"/>
    <n v="785"/>
    <x v="0"/>
    <n v="2"/>
    <n v="1"/>
    <s v="Technical Degree"/>
    <n v="4"/>
    <x v="0"/>
    <n v="53"/>
    <n v="3"/>
    <x v="0"/>
    <x v="2"/>
    <x v="3"/>
    <x v="0"/>
    <n v="5814"/>
    <n v="12570"/>
    <n v="4"/>
    <s v="No"/>
    <n v="19"/>
    <n v="3"/>
    <n v="4"/>
    <n v="1"/>
    <n v="13"/>
    <n v="1"/>
    <n v="3"/>
    <n v="2"/>
    <n v="2"/>
    <n v="2"/>
    <n v="1"/>
  </r>
  <r>
    <s v="Mark Baker"/>
    <n v="30"/>
    <x v="1"/>
    <s v="No"/>
    <x v="0"/>
    <s v="Travel_Rarely"/>
    <n v="1491"/>
    <x v="0"/>
    <n v="15"/>
    <n v="3"/>
    <s v="Technical Degree"/>
    <n v="1"/>
    <x v="1"/>
    <n v="90"/>
    <n v="2"/>
    <x v="0"/>
    <x v="1"/>
    <x v="0"/>
    <x v="1"/>
    <n v="5671"/>
    <n v="17454"/>
    <n v="5"/>
    <s v="Yes"/>
    <n v="11"/>
    <n v="4"/>
    <n v="3"/>
    <n v="2"/>
    <n v="8"/>
    <n v="2"/>
    <n v="3"/>
    <n v="8"/>
    <n v="0"/>
    <n v="0"/>
    <n v="0"/>
  </r>
  <r>
    <s v="Janet Roberts"/>
    <n v="38"/>
    <x v="0"/>
    <s v="No"/>
    <x v="0"/>
    <s v="Travel_Rarely"/>
    <n v="947"/>
    <x v="1"/>
    <n v="1"/>
    <n v="1"/>
    <s v="Other"/>
    <n v="2"/>
    <x v="0"/>
    <n v="87"/>
    <n v="2"/>
    <x v="0"/>
    <x v="7"/>
    <x v="3"/>
    <x v="0"/>
    <n v="5981"/>
    <n v="20934"/>
    <n v="4"/>
    <s v="Yes"/>
    <n v="16"/>
    <n v="4"/>
    <n v="2"/>
    <n v="1"/>
    <n v="12"/>
    <n v="4"/>
    <n v="3"/>
    <n v="3"/>
    <n v="0"/>
    <n v="1"/>
    <n v="1"/>
  </r>
  <r>
    <s v="Amy Campbell"/>
    <n v="38"/>
    <x v="0"/>
    <s v="No"/>
    <x v="0"/>
    <s v="Travel_Rarely"/>
    <n v="1072"/>
    <x v="0"/>
    <n v="3"/>
    <n v="3"/>
    <s v="Medical"/>
    <n v="1"/>
    <x v="1"/>
    <n v="72"/>
    <n v="2"/>
    <x v="0"/>
    <x v="1"/>
    <x v="0"/>
    <x v="1"/>
    <n v="8152"/>
    <n v="18678"/>
    <n v="0"/>
    <s v="No"/>
    <n v="13"/>
    <n v="3"/>
    <n v="2"/>
    <n v="2"/>
    <n v="15"/>
    <n v="3"/>
    <n v="3"/>
    <n v="2"/>
    <n v="2"/>
    <n v="2"/>
    <n v="0"/>
  </r>
  <r>
    <s v="Timothy Carter"/>
    <n v="39"/>
    <x v="0"/>
    <s v="No"/>
    <x v="0"/>
    <s v="Non-Travel"/>
    <n v="558"/>
    <x v="0"/>
    <n v="1"/>
    <n v="2"/>
    <s v="Technical Degree"/>
    <n v="4"/>
    <x v="1"/>
    <n v="58"/>
    <n v="1"/>
    <x v="4"/>
    <x v="4"/>
    <x v="0"/>
    <x v="1"/>
    <n v="7826"/>
    <n v="8568"/>
    <n v="2"/>
    <s v="No"/>
    <n v="11"/>
    <n v="3"/>
    <n v="2"/>
    <n v="1"/>
    <n v="13"/>
    <n v="5"/>
    <n v="3"/>
    <n v="13"/>
    <n v="0"/>
    <n v="9"/>
    <n v="9"/>
  </r>
  <r>
    <s v="Ruth Davis"/>
    <n v="36"/>
    <x v="0"/>
    <s v="No"/>
    <x v="0"/>
    <s v="Travel_Rarely"/>
    <n v="751"/>
    <x v="0"/>
    <n v="1"/>
    <n v="3"/>
    <s v="Life Sciences"/>
    <n v="2"/>
    <x v="1"/>
    <n v="99"/>
    <n v="4"/>
    <x v="3"/>
    <x v="1"/>
    <x v="2"/>
    <x v="0"/>
    <n v="4633"/>
    <n v="7269"/>
    <n v="8"/>
    <s v="No"/>
    <n v="11"/>
    <n v="3"/>
    <n v="1"/>
    <n v="1"/>
    <n v="11"/>
    <n v="2"/>
    <n v="2"/>
    <n v="0"/>
    <n v="0"/>
    <n v="0"/>
    <n v="0"/>
  </r>
  <r>
    <s v="Ryan Carter"/>
    <n v="42"/>
    <x v="0"/>
    <s v="No"/>
    <x v="0"/>
    <s v="Travel_Rarely"/>
    <n v="617"/>
    <x v="1"/>
    <n v="3"/>
    <n v="5"/>
    <s v="Medical"/>
    <n v="3"/>
    <x v="0"/>
    <n v="39"/>
    <n v="3"/>
    <x v="0"/>
    <x v="7"/>
    <x v="2"/>
    <x v="1"/>
    <n v="6280"/>
    <n v="4630"/>
    <n v="5"/>
    <s v="No"/>
    <n v="11"/>
    <n v="4"/>
    <n v="4"/>
    <n v="2"/>
    <n v="19"/>
    <n v="3"/>
    <n v="3"/>
    <n v="8"/>
    <n v="1"/>
    <n v="1"/>
    <n v="0"/>
  </r>
  <r>
    <s v="Brandon Mitchell"/>
    <n v="18"/>
    <x v="4"/>
    <s v="No"/>
    <x v="0"/>
    <s v="Travel_Rarely"/>
    <n v="827"/>
    <x v="1"/>
    <n v="1"/>
    <n v="3"/>
    <s v="Life Sciences"/>
    <n v="3"/>
    <x v="0"/>
    <n v="86"/>
    <n v="2"/>
    <x v="3"/>
    <x v="1"/>
    <x v="0"/>
    <x v="1"/>
    <n v="3993"/>
    <n v="21585"/>
    <n v="1"/>
    <s v="Yes"/>
    <n v="11"/>
    <n v="3"/>
    <n v="2"/>
    <n v="0"/>
    <n v="0"/>
    <n v="3"/>
    <n v="3"/>
    <n v="0"/>
    <n v="0"/>
    <n v="0"/>
    <n v="0"/>
  </r>
  <r>
    <s v="Gary Wilson"/>
    <n v="25"/>
    <x v="4"/>
    <s v="No"/>
    <x v="0"/>
    <s v="Travel_Rarely"/>
    <n v="437"/>
    <x v="0"/>
    <n v="6"/>
    <n v="3"/>
    <s v="Life Sciences"/>
    <n v="4"/>
    <x v="1"/>
    <n v="82"/>
    <n v="3"/>
    <x v="3"/>
    <x v="3"/>
    <x v="0"/>
    <x v="0"/>
    <n v="3100"/>
    <n v="16785"/>
    <n v="2"/>
    <s v="No"/>
    <n v="18"/>
    <n v="3"/>
    <n v="4"/>
    <n v="2"/>
    <n v="3"/>
    <n v="3"/>
    <n v="3"/>
    <n v="3"/>
    <n v="0"/>
    <n v="0"/>
    <n v="2"/>
  </r>
  <r>
    <s v="Christine Adams"/>
    <n v="33"/>
    <x v="1"/>
    <s v="No"/>
    <x v="0"/>
    <s v="Travel_Rarely"/>
    <n v="558"/>
    <x v="1"/>
    <n v="7"/>
    <n v="3"/>
    <s v="Life Sciences"/>
    <n v="3"/>
    <x v="0"/>
    <n v="31"/>
    <n v="2"/>
    <x v="3"/>
    <x v="6"/>
    <x v="3"/>
    <x v="1"/>
    <n v="4819"/>
    <n v="18781"/>
    <n v="2"/>
    <s v="No"/>
    <n v="11"/>
    <n v="3"/>
    <n v="1"/>
    <n v="2"/>
    <n v="10"/>
    <n v="5"/>
    <n v="3"/>
    <n v="3"/>
    <n v="3"/>
    <n v="0"/>
    <n v="0"/>
  </r>
  <r>
    <s v="Emma Harris"/>
    <n v="36"/>
    <x v="0"/>
    <s v="No"/>
    <x v="0"/>
    <s v="Travel_Rarely"/>
    <n v="664"/>
    <x v="0"/>
    <n v="22"/>
    <n v="3"/>
    <s v="Technical Degree"/>
    <n v="3"/>
    <x v="1"/>
    <n v="77"/>
    <n v="2"/>
    <x v="3"/>
    <x v="3"/>
    <x v="1"/>
    <x v="2"/>
    <n v="4007"/>
    <n v="13332"/>
    <n v="3"/>
    <s v="No"/>
    <n v="16"/>
    <n v="3"/>
    <n v="2"/>
    <n v="0"/>
    <n v="15"/>
    <n v="2"/>
    <n v="1"/>
    <n v="4"/>
    <n v="2"/>
    <n v="0"/>
    <n v="0"/>
  </r>
  <r>
    <s v="Helen Davis"/>
    <n v="37"/>
    <x v="0"/>
    <s v="Yes"/>
    <x v="1"/>
    <s v="Travel_Frequently"/>
    <n v="940"/>
    <x v="0"/>
    <n v="2"/>
    <n v="2"/>
    <s v="Technical Degree"/>
    <n v="3"/>
    <x v="0"/>
    <n v="31"/>
    <n v="3"/>
    <x v="3"/>
    <x v="5"/>
    <x v="2"/>
    <x v="0"/>
    <n v="6546"/>
    <n v="4567"/>
    <n v="7"/>
    <s v="Yes"/>
    <n v="20"/>
    <n v="3"/>
    <n v="4"/>
    <n v="0"/>
    <n v="16"/>
    <n v="3"/>
    <n v="3"/>
    <n v="4"/>
    <n v="2"/>
    <n v="1"/>
    <n v="0"/>
  </r>
  <r>
    <s v="Stephanie Nelson"/>
    <n v="43"/>
    <x v="0"/>
    <s v="No"/>
    <x v="0"/>
    <s v="Travel_Frequently"/>
    <n v="1141"/>
    <x v="0"/>
    <n v="1"/>
    <n v="1"/>
    <s v="Life Sciences"/>
    <n v="4"/>
    <x v="1"/>
    <n v="85"/>
    <n v="1"/>
    <x v="0"/>
    <x v="2"/>
    <x v="3"/>
    <x v="0"/>
    <n v="6313"/>
    <n v="4779"/>
    <n v="1"/>
    <s v="Yes"/>
    <n v="11"/>
    <n v="3"/>
    <n v="3"/>
    <n v="0"/>
    <n v="22"/>
    <n v="2"/>
    <n v="2"/>
    <n v="5"/>
    <n v="0"/>
    <n v="0"/>
    <n v="3"/>
  </r>
  <r>
    <s v="Steven King"/>
    <n v="34"/>
    <x v="1"/>
    <s v="No"/>
    <x v="0"/>
    <s v="Travel_Rarely"/>
    <n v="1053"/>
    <x v="1"/>
    <n v="3"/>
    <n v="3"/>
    <s v="Other"/>
    <n v="4"/>
    <x v="1"/>
    <n v="52"/>
    <n v="2"/>
    <x v="4"/>
    <x v="1"/>
    <x v="2"/>
    <x v="2"/>
    <n v="7321"/>
    <n v="15562"/>
    <n v="5"/>
    <s v="No"/>
    <n v="18"/>
    <n v="3"/>
    <n v="3"/>
    <n v="0"/>
    <n v="10"/>
    <n v="2"/>
    <n v="2"/>
    <n v="5"/>
    <n v="5"/>
    <n v="0"/>
    <n v="1"/>
  </r>
  <r>
    <s v="Nicole Ramirez"/>
    <n v="49"/>
    <x v="2"/>
    <s v="No"/>
    <x v="0"/>
    <s v="Non-Travel"/>
    <n v="354"/>
    <x v="0"/>
    <n v="1"/>
    <n v="3"/>
    <s v="Medical"/>
    <n v="4"/>
    <x v="0"/>
    <n v="44"/>
    <n v="3"/>
    <x v="0"/>
    <x v="3"/>
    <x v="2"/>
    <x v="1"/>
    <n v="8472"/>
    <n v="5823"/>
    <n v="3"/>
    <s v="Yes"/>
    <n v="18"/>
    <n v="4"/>
    <n v="2"/>
    <n v="0"/>
    <n v="23"/>
    <n v="2"/>
    <n v="3"/>
    <n v="5"/>
    <n v="4"/>
    <n v="1"/>
    <n v="5"/>
  </r>
  <r>
    <s v="Jonathan Hill"/>
    <n v="33"/>
    <x v="1"/>
    <s v="No"/>
    <x v="0"/>
    <s v="Travel_Frequently"/>
    <n v="644"/>
    <x v="0"/>
    <n v="1"/>
    <n v="4"/>
    <s v="Other"/>
    <n v="2"/>
    <x v="0"/>
    <n v="85"/>
    <n v="3"/>
    <x v="3"/>
    <x v="3"/>
    <x v="1"/>
    <x v="1"/>
    <n v="4742"/>
    <n v="17464"/>
    <n v="4"/>
    <s v="No"/>
    <n v="15"/>
    <n v="3"/>
    <n v="4"/>
    <n v="1"/>
    <n v="11"/>
    <n v="4"/>
    <n v="3"/>
    <n v="4"/>
    <n v="4"/>
    <n v="0"/>
    <n v="4"/>
  </r>
  <r>
    <s v="Ruth Roberts"/>
    <n v="35"/>
    <x v="0"/>
    <s v="No"/>
    <x v="0"/>
    <s v="Travel_Rarely"/>
    <n v="467"/>
    <x v="0"/>
    <n v="4"/>
    <n v="4"/>
    <s v="Life Sciences"/>
    <n v="4"/>
    <x v="1"/>
    <n v="64"/>
    <n v="2"/>
    <x v="0"/>
    <x v="5"/>
    <x v="3"/>
    <x v="0"/>
    <n v="5690"/>
    <n v="23673"/>
    <n v="0"/>
    <s v="No"/>
    <n v="14"/>
    <n v="3"/>
    <n v="2"/>
    <n v="1"/>
    <n v="13"/>
    <n v="0"/>
    <n v="3"/>
    <n v="5"/>
    <n v="1"/>
    <n v="2"/>
    <n v="0"/>
  </r>
  <r>
    <s v="Amy Walker"/>
    <n v="45"/>
    <x v="2"/>
    <s v="Yes"/>
    <x v="1"/>
    <s v="Travel_Frequently"/>
    <n v="1167"/>
    <x v="0"/>
    <n v="4"/>
    <n v="4"/>
    <s v="Technical Degree"/>
    <n v="3"/>
    <x v="1"/>
    <n v="60"/>
    <n v="2"/>
    <x v="3"/>
    <x v="5"/>
    <x v="1"/>
    <x v="1"/>
    <n v="4006"/>
    <n v="9865"/>
    <n v="2"/>
    <s v="Yes"/>
    <n v="19"/>
    <n v="4"/>
    <n v="3"/>
    <n v="2"/>
    <n v="23"/>
    <n v="1"/>
    <n v="3"/>
    <n v="3"/>
    <n v="1"/>
    <n v="3"/>
    <n v="3"/>
  </r>
  <r>
    <s v="Brandon Hall"/>
    <n v="35"/>
    <x v="0"/>
    <s v="No"/>
    <x v="0"/>
    <s v="Travel_Rarely"/>
    <n v="148"/>
    <x v="1"/>
    <n v="1"/>
    <n v="3"/>
    <s v="Marketing"/>
    <n v="1"/>
    <x v="1"/>
    <n v="38"/>
    <n v="3"/>
    <x v="0"/>
    <x v="1"/>
    <x v="0"/>
    <x v="0"/>
    <n v="7795"/>
    <n v="3168"/>
    <n v="1"/>
    <s v="No"/>
    <n v="17"/>
    <n v="3"/>
    <n v="1"/>
    <n v="2"/>
    <n v="11"/>
    <n v="2"/>
    <n v="3"/>
    <n v="3"/>
    <n v="0"/>
    <n v="0"/>
    <n v="3"/>
  </r>
  <r>
    <s v="Amanda Gonzalez"/>
    <n v="46"/>
    <x v="2"/>
    <s v="No"/>
    <x v="0"/>
    <s v="Travel_Rarely"/>
    <n v="154"/>
    <x v="0"/>
    <n v="2"/>
    <n v="3"/>
    <s v="Technical Degree"/>
    <n v="3"/>
    <x v="1"/>
    <n v="81"/>
    <n v="3"/>
    <x v="1"/>
    <x v="4"/>
    <x v="0"/>
    <x v="2"/>
    <n v="11544"/>
    <n v="22436"/>
    <n v="3"/>
    <s v="No"/>
    <n v="11"/>
    <n v="3"/>
    <n v="3"/>
    <n v="1"/>
    <n v="20"/>
    <n v="3"/>
    <n v="3"/>
    <n v="19"/>
    <n v="0"/>
    <n v="1"/>
    <n v="0"/>
  </r>
  <r>
    <s v="Thomas Roberts"/>
    <n v="46"/>
    <x v="2"/>
    <s v="No"/>
    <x v="0"/>
    <s v="Non-Travel"/>
    <n v="1180"/>
    <x v="1"/>
    <n v="17"/>
    <n v="2"/>
    <s v="Medical"/>
    <n v="3"/>
    <x v="0"/>
    <n v="41"/>
    <n v="3"/>
    <x v="3"/>
    <x v="6"/>
    <x v="0"/>
    <x v="2"/>
    <n v="5895"/>
    <n v="15521"/>
    <n v="1"/>
    <s v="No"/>
    <n v="12"/>
    <n v="3"/>
    <n v="3"/>
    <n v="0"/>
    <n v="25"/>
    <n v="2"/>
    <n v="3"/>
    <n v="0"/>
    <n v="0"/>
    <n v="0"/>
    <n v="0"/>
  </r>
  <r>
    <s v="Anthony Allen"/>
    <n v="21"/>
    <x v="4"/>
    <s v="No"/>
    <x v="0"/>
    <s v="Travel_Rarely"/>
    <n v="593"/>
    <x v="1"/>
    <n v="27"/>
    <n v="3"/>
    <s v="Marketing"/>
    <n v="2"/>
    <x v="0"/>
    <n v="80"/>
    <n v="3"/>
    <x v="3"/>
    <x v="7"/>
    <x v="3"/>
    <x v="1"/>
    <n v="4697"/>
    <n v="4594"/>
    <n v="4"/>
    <s v="Yes"/>
    <n v="13"/>
    <n v="3"/>
    <n v="2"/>
    <n v="1"/>
    <n v="0"/>
    <n v="5"/>
    <n v="2"/>
    <n v="0"/>
    <n v="0"/>
    <n v="0"/>
    <n v="0"/>
  </r>
  <r>
    <s v="Maria Rodriguez"/>
    <n v="37"/>
    <x v="0"/>
    <s v="Yes"/>
    <x v="1"/>
    <s v="Travel_Rarely"/>
    <n v="425"/>
    <x v="1"/>
    <n v="4"/>
    <n v="4"/>
    <s v="Marketing"/>
    <n v="1"/>
    <x v="1"/>
    <n v="79"/>
    <n v="3"/>
    <x v="3"/>
    <x v="6"/>
    <x v="1"/>
    <x v="1"/>
    <n v="6955"/>
    <n v="13620"/>
    <n v="0"/>
    <s v="Yes"/>
    <n v="11"/>
    <n v="4"/>
    <n v="2"/>
    <n v="1"/>
    <n v="18"/>
    <n v="1"/>
    <n v="3"/>
    <n v="0"/>
    <n v="0"/>
    <n v="0"/>
    <n v="0"/>
  </r>
  <r>
    <s v="Timothy Walker"/>
    <n v="51"/>
    <x v="2"/>
    <s v="No"/>
    <x v="0"/>
    <s v="Travel_Rarely"/>
    <n v="869"/>
    <x v="1"/>
    <n v="24"/>
    <n v="5"/>
    <s v="Medical"/>
    <n v="4"/>
    <x v="0"/>
    <n v="81"/>
    <n v="3"/>
    <x v="0"/>
    <x v="6"/>
    <x v="0"/>
    <x v="1"/>
    <n v="7808"/>
    <n v="10257"/>
    <n v="5"/>
    <s v="No"/>
    <n v="14"/>
    <n v="3"/>
    <n v="4"/>
    <n v="0"/>
    <n v="27"/>
    <n v="4"/>
    <n v="2"/>
    <n v="9"/>
    <n v="0"/>
    <n v="0"/>
    <n v="1"/>
  </r>
  <r>
    <s v="Maria Thomas"/>
    <n v="38"/>
    <x v="0"/>
    <s v="Yes"/>
    <x v="1"/>
    <s v="Travel_Rarely"/>
    <n v="494"/>
    <x v="1"/>
    <n v="4"/>
    <n v="4"/>
    <s v="Other"/>
    <n v="3"/>
    <x v="1"/>
    <n v="99"/>
    <n v="2"/>
    <x v="3"/>
    <x v="6"/>
    <x v="0"/>
    <x v="0"/>
    <n v="3316"/>
    <n v="10060"/>
    <n v="2"/>
    <s v="No"/>
    <n v="16"/>
    <n v="3"/>
    <n v="2"/>
    <n v="0"/>
    <n v="12"/>
    <n v="4"/>
    <n v="3"/>
    <n v="0"/>
    <n v="0"/>
    <n v="0"/>
    <n v="0"/>
  </r>
  <r>
    <s v="Daniel Wright"/>
    <n v="27"/>
    <x v="1"/>
    <s v="No"/>
    <x v="0"/>
    <s v="Travel_Rarely"/>
    <n v="592"/>
    <x v="0"/>
    <n v="7"/>
    <n v="1"/>
    <s v="Technical Degree"/>
    <n v="4"/>
    <x v="0"/>
    <n v="56"/>
    <n v="2"/>
    <x v="3"/>
    <x v="5"/>
    <x v="2"/>
    <x v="2"/>
    <n v="2843"/>
    <n v="26473"/>
    <n v="2"/>
    <s v="No"/>
    <n v="18"/>
    <n v="3"/>
    <n v="4"/>
    <n v="0"/>
    <n v="3"/>
    <n v="1"/>
    <n v="3"/>
    <n v="3"/>
    <n v="2"/>
    <n v="2"/>
    <n v="0"/>
  </r>
  <r>
    <s v="Richard Jones"/>
    <n v="39"/>
    <x v="0"/>
    <s v="No"/>
    <x v="0"/>
    <s v="Travel_Frequently"/>
    <n v="802"/>
    <x v="0"/>
    <n v="29"/>
    <n v="4"/>
    <s v="Technical Degree"/>
    <n v="3"/>
    <x v="0"/>
    <n v="80"/>
    <n v="3"/>
    <x v="2"/>
    <x v="5"/>
    <x v="0"/>
    <x v="1"/>
    <n v="12407"/>
    <n v="14161"/>
    <n v="2"/>
    <s v="Yes"/>
    <n v="17"/>
    <n v="3"/>
    <n v="3"/>
    <n v="2"/>
    <n v="16"/>
    <n v="2"/>
    <n v="3"/>
    <n v="16"/>
    <n v="0"/>
    <n v="3"/>
    <n v="3"/>
  </r>
  <r>
    <s v="Brian Lee"/>
    <n v="49"/>
    <x v="2"/>
    <s v="No"/>
    <x v="0"/>
    <s v="Travel_Rarely"/>
    <n v="457"/>
    <x v="0"/>
    <n v="1"/>
    <n v="3"/>
    <s v="Life Sciences"/>
    <n v="4"/>
    <x v="1"/>
    <n v="75"/>
    <n v="3"/>
    <x v="0"/>
    <x v="4"/>
    <x v="0"/>
    <x v="1"/>
    <n v="7382"/>
    <n v="7336"/>
    <n v="3"/>
    <s v="No"/>
    <n v="17"/>
    <n v="3"/>
    <n v="4"/>
    <n v="2"/>
    <n v="24"/>
    <n v="2"/>
    <n v="1"/>
    <n v="6"/>
    <n v="0"/>
    <n v="1"/>
    <n v="6"/>
  </r>
  <r>
    <s v="Amanda Roberts"/>
    <n v="44"/>
    <x v="0"/>
    <s v="No"/>
    <x v="0"/>
    <s v="Travel_Rarely"/>
    <n v="1344"/>
    <x v="0"/>
    <n v="4"/>
    <n v="4"/>
    <s v="Medical"/>
    <n v="3"/>
    <x v="1"/>
    <n v="34"/>
    <n v="2"/>
    <x v="3"/>
    <x v="1"/>
    <x v="0"/>
    <x v="0"/>
    <n v="6438"/>
    <n v="8697"/>
    <n v="5"/>
    <s v="Yes"/>
    <n v="17"/>
    <n v="3"/>
    <n v="4"/>
    <n v="0"/>
    <n v="23"/>
    <n v="1"/>
    <n v="3"/>
    <n v="0"/>
    <n v="0"/>
    <n v="0"/>
    <n v="0"/>
  </r>
  <r>
    <s v="Charles Perez"/>
    <n v="43"/>
    <x v="0"/>
    <s v="No"/>
    <x v="0"/>
    <s v="Travel_Frequently"/>
    <n v="548"/>
    <x v="0"/>
    <n v="2"/>
    <n v="4"/>
    <s v="Life Sciences"/>
    <n v="1"/>
    <x v="1"/>
    <n v="53"/>
    <n v="2"/>
    <x v="0"/>
    <x v="1"/>
    <x v="2"/>
    <x v="0"/>
    <n v="8467"/>
    <n v="7577"/>
    <n v="3"/>
    <s v="No"/>
    <n v="14"/>
    <n v="3"/>
    <n v="3"/>
    <n v="1"/>
    <n v="22"/>
    <n v="3"/>
    <n v="3"/>
    <n v="6"/>
    <n v="1"/>
    <n v="6"/>
    <n v="0"/>
  </r>
  <r>
    <s v="Ronald Thompson"/>
    <n v="28"/>
    <x v="1"/>
    <s v="Yes"/>
    <x v="1"/>
    <s v="Non-Travel"/>
    <n v="1448"/>
    <x v="2"/>
    <n v="18"/>
    <n v="2"/>
    <s v="Life Sciences"/>
    <n v="1"/>
    <x v="0"/>
    <n v="80"/>
    <n v="2"/>
    <x v="3"/>
    <x v="1"/>
    <x v="3"/>
    <x v="0"/>
    <n v="3924"/>
    <n v="13797"/>
    <n v="5"/>
    <s v="Yes"/>
    <n v="11"/>
    <n v="3"/>
    <n v="2"/>
    <n v="1"/>
    <n v="3"/>
    <n v="3"/>
    <n v="2"/>
    <n v="0"/>
    <n v="0"/>
    <n v="0"/>
    <n v="0"/>
  </r>
  <r>
    <s v="Charles Garcia"/>
    <n v="40"/>
    <x v="0"/>
    <s v="No"/>
    <x v="0"/>
    <s v="Travel_Rarely"/>
    <n v="640"/>
    <x v="1"/>
    <n v="1"/>
    <n v="2"/>
    <s v="Marketing"/>
    <n v="4"/>
    <x v="0"/>
    <n v="36"/>
    <n v="3"/>
    <x v="0"/>
    <x v="6"/>
    <x v="1"/>
    <x v="1"/>
    <n v="6547"/>
    <n v="26845"/>
    <n v="2"/>
    <s v="No"/>
    <n v="19"/>
    <n v="4"/>
    <n v="1"/>
    <n v="1"/>
    <n v="12"/>
    <n v="4"/>
    <n v="2"/>
    <n v="3"/>
    <n v="3"/>
    <n v="0"/>
    <n v="0"/>
  </r>
  <r>
    <s v="Jennifer Garcia"/>
    <n v="26"/>
    <x v="1"/>
    <s v="No"/>
    <x v="0"/>
    <s v="Travel_Frequently"/>
    <n v="1215"/>
    <x v="1"/>
    <n v="29"/>
    <n v="4"/>
    <s v="Marketing"/>
    <n v="3"/>
    <x v="0"/>
    <n v="81"/>
    <n v="2"/>
    <x v="4"/>
    <x v="6"/>
    <x v="1"/>
    <x v="0"/>
    <n v="7832"/>
    <n v="22260"/>
    <n v="2"/>
    <s v="Yes"/>
    <n v="12"/>
    <n v="3"/>
    <n v="4"/>
    <n v="0"/>
    <n v="6"/>
    <n v="4"/>
    <n v="2"/>
    <n v="6"/>
    <n v="0"/>
    <n v="0"/>
    <n v="2"/>
  </r>
  <r>
    <s v="Stephen Young"/>
    <n v="41"/>
    <x v="0"/>
    <s v="No"/>
    <x v="0"/>
    <s v="Travel_Rarely"/>
    <n v="985"/>
    <x v="0"/>
    <n v="8"/>
    <n v="2"/>
    <s v="Life Sciences"/>
    <n v="3"/>
    <x v="0"/>
    <n v="84"/>
    <n v="1"/>
    <x v="0"/>
    <x v="3"/>
    <x v="2"/>
    <x v="0"/>
    <n v="7405"/>
    <n v="5906"/>
    <n v="1"/>
    <s v="No"/>
    <n v="20"/>
    <n v="3"/>
    <n v="1"/>
    <n v="3"/>
    <n v="19"/>
    <n v="6"/>
    <n v="2"/>
    <n v="7"/>
    <n v="4"/>
    <n v="0"/>
    <n v="1"/>
  </r>
  <r>
    <s v="Sandra Taylor"/>
    <n v="37"/>
    <x v="0"/>
    <s v="No"/>
    <x v="0"/>
    <s v="Travel_Frequently"/>
    <n v="466"/>
    <x v="1"/>
    <n v="4"/>
    <n v="4"/>
    <s v="Marketing"/>
    <n v="3"/>
    <x v="0"/>
    <n v="45"/>
    <n v="3"/>
    <x v="0"/>
    <x v="1"/>
    <x v="2"/>
    <x v="2"/>
    <n v="6141"/>
    <n v="6886"/>
    <n v="3"/>
    <s v="Yes"/>
    <n v="21"/>
    <n v="3"/>
    <n v="4"/>
    <n v="0"/>
    <n v="10"/>
    <n v="2"/>
    <n v="1"/>
    <n v="8"/>
    <n v="0"/>
    <n v="0"/>
    <n v="0"/>
  </r>
  <r>
    <s v="Kevin Campbell"/>
    <n v="37"/>
    <x v="0"/>
    <s v="Yes"/>
    <x v="1"/>
    <s v="Travel_Rarely"/>
    <n v="1222"/>
    <x v="1"/>
    <n v="18"/>
    <n v="4"/>
    <s v="Other"/>
    <n v="2"/>
    <x v="0"/>
    <n v="43"/>
    <n v="3"/>
    <x v="3"/>
    <x v="6"/>
    <x v="3"/>
    <x v="0"/>
    <n v="5383"/>
    <n v="11493"/>
    <n v="1"/>
    <s v="No"/>
    <n v="19"/>
    <n v="3"/>
    <n v="3"/>
    <n v="2"/>
    <n v="18"/>
    <n v="3"/>
    <n v="3"/>
    <n v="0"/>
    <n v="0"/>
    <n v="0"/>
    <n v="0"/>
  </r>
  <r>
    <s v="Jonathan Campbell"/>
    <n v="33"/>
    <x v="1"/>
    <s v="No"/>
    <x v="0"/>
    <s v="Travel_Rarely"/>
    <n v="1416"/>
    <x v="0"/>
    <n v="26"/>
    <n v="3"/>
    <s v="Other"/>
    <n v="3"/>
    <x v="1"/>
    <n v="74"/>
    <n v="4"/>
    <x v="4"/>
    <x v="4"/>
    <x v="1"/>
    <x v="1"/>
    <n v="8559"/>
    <n v="17383"/>
    <n v="0"/>
    <s v="No"/>
    <n v="11"/>
    <n v="3"/>
    <n v="1"/>
    <n v="0"/>
    <n v="12"/>
    <n v="3"/>
    <n v="3"/>
    <n v="12"/>
    <n v="1"/>
    <n v="1"/>
    <n v="10"/>
  </r>
  <r>
    <s v="Emma Williams"/>
    <n v="34"/>
    <x v="1"/>
    <s v="Yes"/>
    <x v="1"/>
    <s v="Travel_Rarely"/>
    <n v="825"/>
    <x v="1"/>
    <n v="7"/>
    <n v="1"/>
    <s v="Medical"/>
    <n v="3"/>
    <x v="0"/>
    <n v="59"/>
    <n v="4"/>
    <x v="0"/>
    <x v="6"/>
    <x v="2"/>
    <x v="2"/>
    <n v="6192"/>
    <n v="12308"/>
    <n v="4"/>
    <s v="Yes"/>
    <n v="17"/>
    <n v="3"/>
    <n v="3"/>
    <n v="0"/>
    <n v="12"/>
    <n v="1"/>
    <n v="1"/>
    <n v="2"/>
    <n v="1"/>
    <n v="2"/>
    <n v="2"/>
  </r>
  <r>
    <s v="Richard Harris"/>
    <n v="38"/>
    <x v="0"/>
    <s v="No"/>
    <x v="0"/>
    <s v="Travel_Rarely"/>
    <n v="1020"/>
    <x v="1"/>
    <n v="5"/>
    <n v="3"/>
    <s v="Medical"/>
    <n v="3"/>
    <x v="1"/>
    <n v="86"/>
    <n v="3"/>
    <x v="3"/>
    <x v="7"/>
    <x v="0"/>
    <x v="0"/>
    <n v="5676"/>
    <n v="20802"/>
    <n v="2"/>
    <s v="No"/>
    <n v="18"/>
    <n v="3"/>
    <n v="2"/>
    <n v="1"/>
    <n v="17"/>
    <n v="3"/>
    <n v="3"/>
    <n v="0"/>
    <n v="0"/>
    <n v="0"/>
    <n v="0"/>
  </r>
  <r>
    <s v="Carolyn Taylor"/>
    <n v="35"/>
    <x v="0"/>
    <s v="No"/>
    <x v="0"/>
    <s v="Travel_Rarely"/>
    <n v="573"/>
    <x v="0"/>
    <n v="25"/>
    <n v="3"/>
    <s v="Other"/>
    <n v="3"/>
    <x v="0"/>
    <n v="58"/>
    <n v="3"/>
    <x v="4"/>
    <x v="3"/>
    <x v="1"/>
    <x v="0"/>
    <n v="8264"/>
    <n v="13926"/>
    <n v="4"/>
    <s v="No"/>
    <n v="11"/>
    <n v="3"/>
    <n v="2"/>
    <n v="2"/>
    <n v="13"/>
    <n v="1"/>
    <n v="3"/>
    <n v="13"/>
    <n v="3"/>
    <n v="0"/>
    <n v="0"/>
  </r>
  <r>
    <s v="Jennifer Green"/>
    <n v="37"/>
    <x v="0"/>
    <s v="No"/>
    <x v="0"/>
    <s v="Travel_Frequently"/>
    <n v="1130"/>
    <x v="0"/>
    <n v="19"/>
    <n v="4"/>
    <s v="Medical"/>
    <n v="2"/>
    <x v="0"/>
    <n v="45"/>
    <n v="3"/>
    <x v="0"/>
    <x v="1"/>
    <x v="2"/>
    <x v="2"/>
    <n v="5545"/>
    <n v="26290"/>
    <n v="2"/>
    <s v="Yes"/>
    <n v="14"/>
    <n v="3"/>
    <n v="4"/>
    <n v="1"/>
    <n v="13"/>
    <n v="4"/>
    <n v="2"/>
    <n v="5"/>
    <n v="2"/>
    <n v="1"/>
    <n v="5"/>
  </r>
  <r>
    <s v="Janet Martinez"/>
    <n v="24"/>
    <x v="4"/>
    <s v="Yes"/>
    <x v="1"/>
    <s v="Travel_Frequently"/>
    <n v="437"/>
    <x v="0"/>
    <n v="16"/>
    <n v="2"/>
    <s v="Technical Degree"/>
    <n v="1"/>
    <x v="1"/>
    <n v="47"/>
    <n v="3"/>
    <x v="3"/>
    <x v="2"/>
    <x v="0"/>
    <x v="0"/>
    <n v="4602"/>
    <n v="26712"/>
    <n v="1"/>
    <s v="No"/>
    <n v="14"/>
    <n v="3"/>
    <n v="4"/>
    <n v="1"/>
    <n v="2"/>
    <n v="3"/>
    <n v="3"/>
    <n v="2"/>
    <n v="2"/>
    <n v="0"/>
    <n v="2"/>
  </r>
  <r>
    <s v="Brian Flores"/>
    <n v="39"/>
    <x v="0"/>
    <s v="No"/>
    <x v="0"/>
    <s v="Travel_Rarely"/>
    <n v="494"/>
    <x v="1"/>
    <n v="21"/>
    <n v="3"/>
    <s v="Marketing"/>
    <n v="4"/>
    <x v="0"/>
    <n v="92"/>
    <n v="1"/>
    <x v="0"/>
    <x v="7"/>
    <x v="2"/>
    <x v="0"/>
    <n v="9604"/>
    <n v="13723"/>
    <n v="3"/>
    <s v="No"/>
    <n v="14"/>
    <n v="3"/>
    <n v="3"/>
    <n v="0"/>
    <n v="20"/>
    <n v="3"/>
    <n v="4"/>
    <n v="6"/>
    <n v="4"/>
    <n v="1"/>
    <n v="1"/>
  </r>
  <r>
    <s v="Brandon Miller"/>
    <n v="32"/>
    <x v="1"/>
    <s v="No"/>
    <x v="0"/>
    <s v="Travel_Rarely"/>
    <n v="1385"/>
    <x v="1"/>
    <n v="1"/>
    <n v="3"/>
    <s v="Marketing"/>
    <n v="4"/>
    <x v="1"/>
    <n v="56"/>
    <n v="3"/>
    <x v="0"/>
    <x v="7"/>
    <x v="1"/>
    <x v="1"/>
    <n v="5936"/>
    <n v="13095"/>
    <n v="2"/>
    <s v="No"/>
    <n v="18"/>
    <n v="3"/>
    <n v="1"/>
    <n v="1"/>
    <n v="10"/>
    <n v="4"/>
    <n v="3"/>
    <n v="1"/>
    <n v="1"/>
    <n v="1"/>
    <n v="0"/>
  </r>
  <r>
    <s v="Gary Williams"/>
    <n v="29"/>
    <x v="1"/>
    <s v="No"/>
    <x v="0"/>
    <s v="Travel_Rarely"/>
    <n v="1313"/>
    <x v="1"/>
    <n v="4"/>
    <n v="2"/>
    <s v="Life Sciences"/>
    <n v="3"/>
    <x v="0"/>
    <n v="82"/>
    <n v="4"/>
    <x v="3"/>
    <x v="7"/>
    <x v="3"/>
    <x v="0"/>
    <n v="3368"/>
    <n v="17089"/>
    <n v="2"/>
    <s v="Yes"/>
    <n v="17"/>
    <n v="3"/>
    <n v="3"/>
    <n v="3"/>
    <n v="4"/>
    <n v="1"/>
    <n v="3"/>
    <n v="2"/>
    <n v="2"/>
    <n v="2"/>
    <n v="0"/>
  </r>
  <r>
    <s v="Donna Thompson"/>
    <n v="37"/>
    <x v="0"/>
    <s v="No"/>
    <x v="0"/>
    <s v="Travel_Rarely"/>
    <n v="312"/>
    <x v="0"/>
    <n v="12"/>
    <n v="2"/>
    <s v="Technical Degree"/>
    <n v="1"/>
    <x v="1"/>
    <n v="62"/>
    <n v="3"/>
    <x v="0"/>
    <x v="0"/>
    <x v="1"/>
    <x v="1"/>
    <n v="8765"/>
    <n v="15039"/>
    <n v="1"/>
    <s v="Yes"/>
    <n v="18"/>
    <n v="4"/>
    <n v="3"/>
    <n v="0"/>
    <n v="13"/>
    <n v="4"/>
    <n v="3"/>
    <n v="7"/>
    <n v="0"/>
    <n v="1"/>
    <n v="0"/>
  </r>
  <r>
    <s v="George Martinez"/>
    <n v="46"/>
    <x v="2"/>
    <s v="No"/>
    <x v="0"/>
    <s v="Travel_Rarely"/>
    <n v="1404"/>
    <x v="0"/>
    <n v="10"/>
    <n v="4"/>
    <s v="Medical"/>
    <n v="1"/>
    <x v="0"/>
    <n v="96"/>
    <n v="3"/>
    <x v="3"/>
    <x v="0"/>
    <x v="2"/>
    <x v="2"/>
    <n v="5873"/>
    <n v="23243"/>
    <n v="2"/>
    <s v="Yes"/>
    <n v="16"/>
    <n v="3"/>
    <n v="1"/>
    <n v="1"/>
    <n v="23"/>
    <n v="2"/>
    <n v="3"/>
    <n v="1"/>
    <n v="1"/>
    <n v="1"/>
    <n v="1"/>
  </r>
  <r>
    <s v="Emily Thomas"/>
    <n v="55"/>
    <x v="3"/>
    <s v="No"/>
    <x v="0"/>
    <s v="Non-Travel"/>
    <n v="1135"/>
    <x v="0"/>
    <n v="6"/>
    <n v="4"/>
    <s v="Life Sciences"/>
    <n v="3"/>
    <x v="0"/>
    <n v="39"/>
    <n v="2"/>
    <x v="0"/>
    <x v="2"/>
    <x v="0"/>
    <x v="0"/>
    <n v="8631"/>
    <n v="15322"/>
    <n v="2"/>
    <s v="No"/>
    <n v="16"/>
    <n v="3"/>
    <n v="4"/>
    <n v="0"/>
    <n v="33"/>
    <n v="2"/>
    <n v="3"/>
    <n v="6"/>
    <n v="0"/>
    <n v="1"/>
    <n v="2"/>
  </r>
  <r>
    <s v="Christopher Allen"/>
    <n v="34"/>
    <x v="1"/>
    <s v="No"/>
    <x v="0"/>
    <s v="Non-Travel"/>
    <n v="514"/>
    <x v="0"/>
    <n v="1"/>
    <n v="2"/>
    <s v="Other"/>
    <n v="3"/>
    <x v="1"/>
    <n v="57"/>
    <n v="3"/>
    <x v="0"/>
    <x v="3"/>
    <x v="1"/>
    <x v="0"/>
    <n v="7012"/>
    <n v="22378"/>
    <n v="3"/>
    <s v="No"/>
    <n v="18"/>
    <n v="4"/>
    <n v="3"/>
    <n v="1"/>
    <n v="14"/>
    <n v="1"/>
    <n v="3"/>
    <n v="0"/>
    <n v="0"/>
    <n v="0"/>
    <n v="0"/>
  </r>
  <r>
    <s v="Heather Perez"/>
    <n v="46"/>
    <x v="2"/>
    <s v="No"/>
    <x v="0"/>
    <s v="Travel_Rarely"/>
    <n v="1485"/>
    <x v="0"/>
    <n v="2"/>
    <n v="5"/>
    <s v="Technical Degree"/>
    <n v="2"/>
    <x v="1"/>
    <n v="93"/>
    <n v="2"/>
    <x v="4"/>
    <x v="4"/>
    <x v="0"/>
    <x v="1"/>
    <n v="9701"/>
    <n v="12874"/>
    <n v="2"/>
    <s v="Yes"/>
    <n v="19"/>
    <n v="3"/>
    <n v="2"/>
    <n v="2"/>
    <n v="26"/>
    <n v="4"/>
    <n v="2"/>
    <n v="10"/>
    <n v="1"/>
    <n v="2"/>
    <n v="3"/>
  </r>
  <r>
    <s v="Stephen Lee"/>
    <n v="37"/>
    <x v="0"/>
    <s v="Yes"/>
    <x v="1"/>
    <s v="Travel_Rarely"/>
    <n v="1169"/>
    <x v="0"/>
    <n v="4"/>
    <n v="2"/>
    <s v="Technical Degree"/>
    <n v="3"/>
    <x v="1"/>
    <n v="51"/>
    <n v="1"/>
    <x v="3"/>
    <x v="2"/>
    <x v="2"/>
    <x v="1"/>
    <n v="5586"/>
    <n v="13455"/>
    <n v="7"/>
    <s v="Yes"/>
    <n v="11"/>
    <n v="4"/>
    <n v="2"/>
    <n v="0"/>
    <n v="18"/>
    <n v="2"/>
    <n v="3"/>
    <n v="1"/>
    <n v="1"/>
    <n v="1"/>
    <n v="0"/>
  </r>
  <r>
    <s v="James Lee"/>
    <n v="28"/>
    <x v="1"/>
    <s v="Yes"/>
    <x v="1"/>
    <s v="Travel_Rarely"/>
    <n v="786"/>
    <x v="0"/>
    <n v="23"/>
    <n v="4"/>
    <s v="Life Sciences"/>
    <n v="1"/>
    <x v="1"/>
    <n v="63"/>
    <n v="2"/>
    <x v="3"/>
    <x v="1"/>
    <x v="1"/>
    <x v="2"/>
    <n v="4666"/>
    <n v="18740"/>
    <n v="3"/>
    <s v="Yes"/>
    <n v="19"/>
    <n v="4"/>
    <n v="3"/>
    <n v="1"/>
    <n v="7"/>
    <n v="5"/>
    <n v="3"/>
    <n v="4"/>
    <n v="3"/>
    <n v="3"/>
    <n v="1"/>
  </r>
  <r>
    <s v="Eric Lopez"/>
    <n v="34"/>
    <x v="1"/>
    <s v="No"/>
    <x v="0"/>
    <s v="Travel_Rarely"/>
    <n v="1088"/>
    <x v="0"/>
    <n v="5"/>
    <n v="1"/>
    <s v="Life Sciences"/>
    <n v="4"/>
    <x v="0"/>
    <n v="91"/>
    <n v="3"/>
    <x v="3"/>
    <x v="2"/>
    <x v="2"/>
    <x v="2"/>
    <n v="5198"/>
    <n v="4956"/>
    <n v="3"/>
    <s v="Yes"/>
    <n v="16"/>
    <n v="3"/>
    <n v="4"/>
    <n v="1"/>
    <n v="11"/>
    <n v="3"/>
    <n v="3"/>
    <n v="0"/>
    <n v="0"/>
    <n v="0"/>
    <n v="0"/>
  </r>
  <r>
    <s v="Deborah Lopez"/>
    <n v="33"/>
    <x v="1"/>
    <s v="No"/>
    <x v="0"/>
    <s v="Travel_Frequently"/>
    <n v="968"/>
    <x v="0"/>
    <n v="1"/>
    <n v="3"/>
    <s v="Medical"/>
    <n v="3"/>
    <x v="0"/>
    <n v="94"/>
    <n v="3"/>
    <x v="0"/>
    <x v="2"/>
    <x v="3"/>
    <x v="2"/>
    <n v="5720"/>
    <n v="19459"/>
    <n v="5"/>
    <s v="No"/>
    <n v="18"/>
    <n v="3"/>
    <n v="2"/>
    <n v="0"/>
    <n v="9"/>
    <n v="0"/>
    <n v="3"/>
    <n v="7"/>
    <n v="2"/>
    <n v="7"/>
    <n v="2"/>
  </r>
  <r>
    <s v="Andrew Rodriguez"/>
    <n v="36"/>
    <x v="0"/>
    <s v="No"/>
    <x v="0"/>
    <s v="Travel_Frequently"/>
    <n v="374"/>
    <x v="0"/>
    <n v="4"/>
    <n v="3"/>
    <s v="Other"/>
    <n v="2"/>
    <x v="1"/>
    <n v="95"/>
    <n v="3"/>
    <x v="3"/>
    <x v="3"/>
    <x v="1"/>
    <x v="1"/>
    <n v="5135"/>
    <n v="3102"/>
    <n v="0"/>
    <s v="No"/>
    <n v="17"/>
    <n v="3"/>
    <n v="1"/>
    <n v="2"/>
    <n v="14"/>
    <n v="3"/>
    <n v="3"/>
    <n v="1"/>
    <n v="1"/>
    <n v="1"/>
    <n v="1"/>
  </r>
  <r>
    <s v="Amanda Davis"/>
    <n v="39"/>
    <x v="0"/>
    <s v="No"/>
    <x v="0"/>
    <s v="Non-Travel"/>
    <n v="533"/>
    <x v="0"/>
    <n v="5"/>
    <n v="2"/>
    <s v="Other"/>
    <n v="3"/>
    <x v="0"/>
    <n v="51"/>
    <n v="3"/>
    <x v="3"/>
    <x v="3"/>
    <x v="2"/>
    <x v="1"/>
    <n v="5561"/>
    <n v="23352"/>
    <n v="2"/>
    <s v="No"/>
    <n v="13"/>
    <n v="3"/>
    <n v="4"/>
    <n v="0"/>
    <n v="17"/>
    <n v="3"/>
    <n v="2"/>
    <n v="3"/>
    <n v="0"/>
    <n v="3"/>
    <n v="3"/>
  </r>
  <r>
    <s v="Laura Davis"/>
    <n v="40"/>
    <x v="0"/>
    <s v="No"/>
    <x v="0"/>
    <s v="Travel_Rarely"/>
    <n v="1109"/>
    <x v="0"/>
    <n v="7"/>
    <n v="4"/>
    <s v="Other"/>
    <n v="1"/>
    <x v="0"/>
    <n v="44"/>
    <n v="3"/>
    <x v="0"/>
    <x v="5"/>
    <x v="0"/>
    <x v="1"/>
    <n v="7398"/>
    <n v="22369"/>
    <n v="3"/>
    <s v="No"/>
    <n v="17"/>
    <n v="3"/>
    <n v="3"/>
    <n v="1"/>
    <n v="16"/>
    <n v="3"/>
    <n v="3"/>
    <n v="0"/>
    <n v="0"/>
    <n v="0"/>
    <n v="0"/>
  </r>
  <r>
    <s v="Nancy Martin"/>
    <n v="31"/>
    <x v="1"/>
    <s v="No"/>
    <x v="0"/>
    <s v="Travel_Frequently"/>
    <n v="1418"/>
    <x v="1"/>
    <n v="1"/>
    <n v="2"/>
    <s v="Other"/>
    <n v="2"/>
    <x v="0"/>
    <n v="71"/>
    <n v="3"/>
    <x v="0"/>
    <x v="1"/>
    <x v="2"/>
    <x v="1"/>
    <n v="7456"/>
    <n v="12139"/>
    <n v="3"/>
    <s v="No"/>
    <n v="11"/>
    <n v="3"/>
    <n v="4"/>
    <n v="1"/>
    <n v="9"/>
    <n v="3"/>
    <n v="3"/>
    <n v="0"/>
    <n v="0"/>
    <n v="0"/>
    <n v="0"/>
  </r>
  <r>
    <s v="Frank Rivera"/>
    <n v="32"/>
    <x v="1"/>
    <s v="No"/>
    <x v="0"/>
    <s v="Travel_Rarely"/>
    <n v="563"/>
    <x v="1"/>
    <n v="2"/>
    <n v="2"/>
    <s v="Other"/>
    <n v="1"/>
    <x v="1"/>
    <n v="98"/>
    <n v="3"/>
    <x v="3"/>
    <x v="1"/>
    <x v="1"/>
    <x v="2"/>
    <n v="3554"/>
    <n v="2783"/>
    <n v="1"/>
    <s v="No"/>
    <n v="17"/>
    <n v="3"/>
    <n v="1"/>
    <n v="2"/>
    <n v="7"/>
    <n v="2"/>
    <n v="4"/>
    <n v="2"/>
    <n v="2"/>
    <n v="1"/>
    <n v="0"/>
  </r>
  <r>
    <s v="Ronald Scott"/>
    <n v="42"/>
    <x v="0"/>
    <s v="No"/>
    <x v="0"/>
    <s v="Non-Travel"/>
    <n v="1017"/>
    <x v="0"/>
    <n v="1"/>
    <n v="2"/>
    <s v="Life Sciences"/>
    <n v="4"/>
    <x v="0"/>
    <n v="93"/>
    <n v="3"/>
    <x v="4"/>
    <x v="3"/>
    <x v="2"/>
    <x v="0"/>
    <n v="7851"/>
    <n v="8696"/>
    <n v="1"/>
    <s v="Yes"/>
    <n v="12"/>
    <n v="3"/>
    <n v="1"/>
    <n v="1"/>
    <n v="20"/>
    <n v="2"/>
    <n v="3"/>
    <n v="5"/>
    <n v="5"/>
    <n v="1"/>
    <n v="5"/>
  </r>
  <r>
    <s v="Katherine King"/>
    <n v="58"/>
    <x v="3"/>
    <s v="Yes"/>
    <x v="1"/>
    <s v="Travel_Rarely"/>
    <n v="287"/>
    <x v="0"/>
    <n v="1"/>
    <n v="4"/>
    <s v="Medical"/>
    <n v="3"/>
    <x v="0"/>
    <n v="90"/>
    <n v="2"/>
    <x v="0"/>
    <x v="4"/>
    <x v="1"/>
    <x v="0"/>
    <n v="10966"/>
    <n v="24419"/>
    <n v="2"/>
    <s v="No"/>
    <n v="19"/>
    <n v="3"/>
    <n v="4"/>
    <n v="2"/>
    <n v="36"/>
    <n v="6"/>
    <n v="3"/>
    <n v="5"/>
    <n v="4"/>
    <n v="0"/>
    <n v="0"/>
  </r>
  <r>
    <s v="David Thomas"/>
    <n v="18"/>
    <x v="4"/>
    <s v="No"/>
    <x v="0"/>
    <s v="Travel_Rarely"/>
    <n v="901"/>
    <x v="1"/>
    <n v="3"/>
    <n v="3"/>
    <s v="Other"/>
    <n v="3"/>
    <x v="1"/>
    <n v="72"/>
    <n v="3"/>
    <x v="3"/>
    <x v="6"/>
    <x v="2"/>
    <x v="1"/>
    <n v="3658"/>
    <n v="15897"/>
    <n v="1"/>
    <s v="No"/>
    <n v="21"/>
    <n v="3"/>
    <n v="4"/>
    <n v="3"/>
    <n v="0"/>
    <n v="2"/>
    <n v="2"/>
    <n v="0"/>
    <n v="0"/>
    <n v="0"/>
    <n v="0"/>
  </r>
  <r>
    <s v="Justin Jackson"/>
    <n v="27"/>
    <x v="1"/>
    <s v="No"/>
    <x v="0"/>
    <s v="Travel_Rarely"/>
    <n v="1276"/>
    <x v="1"/>
    <n v="1"/>
    <n v="2"/>
    <s v="Life Sciences"/>
    <n v="3"/>
    <x v="1"/>
    <n v="55"/>
    <n v="3"/>
    <x v="0"/>
    <x v="1"/>
    <x v="3"/>
    <x v="2"/>
    <n v="7057"/>
    <n v="6663"/>
    <n v="1"/>
    <s v="Yes"/>
    <n v="11"/>
    <n v="3"/>
    <n v="3"/>
    <n v="2"/>
    <n v="5"/>
    <n v="2"/>
    <n v="4"/>
    <n v="5"/>
    <n v="0"/>
    <n v="1"/>
    <n v="1"/>
  </r>
  <r>
    <s v="Carolyn Moore"/>
    <n v="25"/>
    <x v="4"/>
    <s v="No"/>
    <x v="0"/>
    <s v="Travel_Rarely"/>
    <n v="119"/>
    <x v="0"/>
    <n v="1"/>
    <n v="1"/>
    <s v="Life Sciences"/>
    <n v="3"/>
    <x v="0"/>
    <n v="43"/>
    <n v="3"/>
    <x v="3"/>
    <x v="5"/>
    <x v="2"/>
    <x v="1"/>
    <n v="1171"/>
    <n v="4465"/>
    <n v="2"/>
    <s v="No"/>
    <n v="20"/>
    <n v="3"/>
    <n v="3"/>
    <n v="1"/>
    <n v="2"/>
    <n v="1"/>
    <n v="3"/>
    <n v="2"/>
    <n v="2"/>
    <n v="0"/>
    <n v="2"/>
  </r>
  <r>
    <s v="Raymond Flores"/>
    <n v="32"/>
    <x v="1"/>
    <s v="No"/>
    <x v="0"/>
    <s v="Travel_Rarely"/>
    <n v="480"/>
    <x v="0"/>
    <n v="8"/>
    <n v="4"/>
    <s v="Life Sciences"/>
    <n v="3"/>
    <x v="1"/>
    <n v="33"/>
    <n v="3"/>
    <x v="0"/>
    <x v="3"/>
    <x v="3"/>
    <x v="0"/>
    <n v="6861"/>
    <n v="18460"/>
    <n v="3"/>
    <s v="No"/>
    <n v="18"/>
    <n v="3"/>
    <n v="3"/>
    <n v="1"/>
    <n v="12"/>
    <n v="3"/>
    <n v="3"/>
    <n v="2"/>
    <n v="2"/>
    <n v="2"/>
    <n v="2"/>
  </r>
  <r>
    <s v="James Rodriguez"/>
    <n v="50"/>
    <x v="2"/>
    <s v="No"/>
    <x v="0"/>
    <s v="Travel_Frequently"/>
    <n v="1378"/>
    <x v="0"/>
    <n v="11"/>
    <n v="1"/>
    <s v="Technical Degree"/>
    <n v="3"/>
    <x v="0"/>
    <n v="52"/>
    <n v="2"/>
    <x v="3"/>
    <x v="3"/>
    <x v="2"/>
    <x v="0"/>
    <n v="6580"/>
    <n v="11933"/>
    <n v="5"/>
    <s v="No"/>
    <n v="16"/>
    <n v="3"/>
    <n v="4"/>
    <n v="2"/>
    <n v="28"/>
    <n v="2"/>
    <n v="2"/>
    <n v="3"/>
    <n v="1"/>
    <n v="0"/>
    <n v="3"/>
  </r>
  <r>
    <s v="Susan Harris"/>
    <n v="53"/>
    <x v="2"/>
    <s v="No"/>
    <x v="0"/>
    <s v="Travel_Rarely"/>
    <n v="109"/>
    <x v="1"/>
    <n v="1"/>
    <n v="4"/>
    <s v="Life Sciences"/>
    <n v="4"/>
    <x v="0"/>
    <n v="78"/>
    <n v="3"/>
    <x v="4"/>
    <x v="1"/>
    <x v="0"/>
    <x v="1"/>
    <n v="9398"/>
    <n v="7606"/>
    <n v="2"/>
    <s v="Yes"/>
    <n v="11"/>
    <n v="3"/>
    <n v="2"/>
    <n v="1"/>
    <n v="31"/>
    <n v="0"/>
    <n v="3"/>
    <n v="9"/>
    <n v="1"/>
    <n v="3"/>
    <n v="4"/>
  </r>
  <r>
    <s v="Richard Roberts"/>
    <n v="31"/>
    <x v="1"/>
    <s v="No"/>
    <x v="0"/>
    <s v="Travel_Frequently"/>
    <n v="1479"/>
    <x v="1"/>
    <n v="1"/>
    <n v="2"/>
    <s v="Marketing"/>
    <n v="3"/>
    <x v="0"/>
    <n v="49"/>
    <n v="2"/>
    <x v="0"/>
    <x v="1"/>
    <x v="0"/>
    <x v="1"/>
    <n v="5599"/>
    <n v="12237"/>
    <n v="4"/>
    <s v="No"/>
    <n v="13"/>
    <n v="3"/>
    <n v="3"/>
    <n v="1"/>
    <n v="10"/>
    <n v="3"/>
    <n v="3"/>
    <n v="2"/>
    <n v="2"/>
    <n v="1"/>
    <n v="2"/>
  </r>
  <r>
    <s v="Jerry Brown"/>
    <n v="36"/>
    <x v="0"/>
    <s v="No"/>
    <x v="0"/>
    <s v="Non-Travel"/>
    <n v="1406"/>
    <x v="0"/>
    <n v="5"/>
    <n v="3"/>
    <s v="Medical"/>
    <n v="4"/>
    <x v="1"/>
    <n v="52"/>
    <n v="3"/>
    <x v="3"/>
    <x v="2"/>
    <x v="2"/>
    <x v="1"/>
    <n v="4842"/>
    <n v="16915"/>
    <n v="5"/>
    <s v="No"/>
    <n v="13"/>
    <n v="4"/>
    <n v="1"/>
    <n v="3"/>
    <n v="11"/>
    <n v="2"/>
    <n v="2"/>
    <n v="0"/>
    <n v="0"/>
    <n v="0"/>
    <n v="0"/>
  </r>
  <r>
    <s v="Dennis Clark"/>
    <n v="20"/>
    <x v="4"/>
    <s v="Yes"/>
    <x v="1"/>
    <s v="Travel_Rarely"/>
    <n v="204"/>
    <x v="1"/>
    <n v="4"/>
    <n v="4"/>
    <s v="Other"/>
    <n v="4"/>
    <x v="0"/>
    <n v="39"/>
    <n v="3"/>
    <x v="0"/>
    <x v="7"/>
    <x v="0"/>
    <x v="2"/>
    <n v="5467"/>
    <n v="9689"/>
    <n v="3"/>
    <s v="No"/>
    <n v="11"/>
    <n v="3"/>
    <n v="1"/>
    <n v="2"/>
    <n v="0"/>
    <n v="4"/>
    <n v="3"/>
    <n v="0"/>
    <n v="0"/>
    <n v="0"/>
    <n v="0"/>
  </r>
  <r>
    <s v="Katherine Lopez"/>
    <n v="37"/>
    <x v="0"/>
    <s v="No"/>
    <x v="0"/>
    <s v="Travel_Rarely"/>
    <n v="1286"/>
    <x v="0"/>
    <n v="19"/>
    <n v="4"/>
    <s v="Medical"/>
    <n v="4"/>
    <x v="0"/>
    <n v="44"/>
    <n v="3"/>
    <x v="3"/>
    <x v="5"/>
    <x v="1"/>
    <x v="1"/>
    <n v="4611"/>
    <n v="17455"/>
    <n v="5"/>
    <s v="No"/>
    <n v="15"/>
    <n v="4"/>
    <n v="4"/>
    <n v="0"/>
    <n v="14"/>
    <n v="3"/>
    <n v="3"/>
    <n v="4"/>
    <n v="2"/>
    <n v="2"/>
    <n v="0"/>
  </r>
  <r>
    <s v="Mary Nguyen"/>
    <n v="50"/>
    <x v="2"/>
    <s v="No"/>
    <x v="0"/>
    <s v="Travel_Frequently"/>
    <n v="1024"/>
    <x v="0"/>
    <n v="2"/>
    <n v="3"/>
    <s v="Medical"/>
    <n v="3"/>
    <x v="1"/>
    <n v="46"/>
    <n v="2"/>
    <x v="0"/>
    <x v="4"/>
    <x v="2"/>
    <x v="0"/>
    <n v="7720"/>
    <n v="11795"/>
    <n v="2"/>
    <s v="No"/>
    <n v="17"/>
    <n v="3"/>
    <n v="3"/>
    <n v="0"/>
    <n v="29"/>
    <n v="5"/>
    <n v="3"/>
    <n v="1"/>
    <n v="1"/>
    <n v="1"/>
    <n v="1"/>
  </r>
  <r>
    <s v="Donna Carter"/>
    <n v="28"/>
    <x v="1"/>
    <s v="No"/>
    <x v="0"/>
    <s v="Non-Travel"/>
    <n v="302"/>
    <x v="1"/>
    <n v="2"/>
    <n v="2"/>
    <s v="Medical"/>
    <n v="4"/>
    <x v="0"/>
    <n v="98"/>
    <n v="2"/>
    <x v="3"/>
    <x v="1"/>
    <x v="2"/>
    <x v="0"/>
    <n v="4573"/>
    <n v="17160"/>
    <n v="1"/>
    <s v="No"/>
    <n v="11"/>
    <n v="3"/>
    <n v="3"/>
    <n v="0"/>
    <n v="5"/>
    <n v="0"/>
    <n v="4"/>
    <n v="3"/>
    <n v="1"/>
    <n v="3"/>
    <n v="1"/>
  </r>
  <r>
    <s v="Pamela Ramirez"/>
    <n v="36"/>
    <x v="0"/>
    <s v="No"/>
    <x v="0"/>
    <s v="Travel_Rarely"/>
    <n v="1058"/>
    <x v="0"/>
    <n v="7"/>
    <n v="3"/>
    <s v="Technical Degree"/>
    <n v="1"/>
    <x v="0"/>
    <n v="55"/>
    <n v="2"/>
    <x v="4"/>
    <x v="4"/>
    <x v="3"/>
    <x v="1"/>
    <n v="8750"/>
    <n v="19472"/>
    <n v="2"/>
    <s v="Yes"/>
    <n v="13"/>
    <n v="3"/>
    <n v="4"/>
    <n v="2"/>
    <n v="13"/>
    <n v="4"/>
    <n v="3"/>
    <n v="12"/>
    <n v="3"/>
    <n v="1"/>
    <n v="5"/>
  </r>
  <r>
    <s v="Christine Baker"/>
    <n v="19"/>
    <x v="4"/>
    <s v="No"/>
    <x v="0"/>
    <s v="Travel_Rarely"/>
    <n v="1281"/>
    <x v="1"/>
    <n v="1"/>
    <n v="2"/>
    <s v="Life Sciences"/>
    <n v="3"/>
    <x v="1"/>
    <n v="86"/>
    <n v="4"/>
    <x v="3"/>
    <x v="1"/>
    <x v="0"/>
    <x v="0"/>
    <n v="3867"/>
    <n v="25984"/>
    <n v="2"/>
    <s v="No"/>
    <n v="18"/>
    <n v="3"/>
    <n v="3"/>
    <n v="2"/>
    <n v="0"/>
    <n v="5"/>
    <n v="3"/>
    <n v="0"/>
    <n v="0"/>
    <n v="0"/>
    <n v="0"/>
  </r>
  <r>
    <s v="Ronald Lee"/>
    <n v="32"/>
    <x v="1"/>
    <s v="No"/>
    <x v="0"/>
    <s v="Travel_Rarely"/>
    <n v="700"/>
    <x v="1"/>
    <n v="1"/>
    <n v="3"/>
    <s v="Marketing"/>
    <n v="1"/>
    <x v="0"/>
    <n v="90"/>
    <n v="4"/>
    <x v="3"/>
    <x v="7"/>
    <x v="2"/>
    <x v="1"/>
    <n v="4423"/>
    <n v="18142"/>
    <n v="3"/>
    <s v="No"/>
    <n v="16"/>
    <n v="3"/>
    <n v="2"/>
    <n v="0"/>
    <n v="10"/>
    <n v="1"/>
    <n v="3"/>
    <n v="3"/>
    <n v="3"/>
    <n v="0"/>
    <n v="0"/>
  </r>
  <r>
    <s v="Eric Mitchell"/>
    <n v="44"/>
    <x v="0"/>
    <s v="No"/>
    <x v="0"/>
    <s v="Travel_Rarely"/>
    <n v="246"/>
    <x v="1"/>
    <n v="5"/>
    <n v="4"/>
    <s v="Other"/>
    <n v="3"/>
    <x v="0"/>
    <n v="74"/>
    <n v="3"/>
    <x v="3"/>
    <x v="1"/>
    <x v="3"/>
    <x v="2"/>
    <n v="4474"/>
    <n v="26217"/>
    <n v="3"/>
    <s v="Yes"/>
    <n v="15"/>
    <n v="3"/>
    <n v="4"/>
    <n v="0"/>
    <n v="19"/>
    <n v="6"/>
    <n v="3"/>
    <n v="4"/>
    <n v="0"/>
    <n v="1"/>
    <n v="1"/>
  </r>
  <r>
    <s v="David Lee"/>
    <n v="18"/>
    <x v="4"/>
    <s v="Yes"/>
    <x v="1"/>
    <s v="Travel_Rarely"/>
    <n v="718"/>
    <x v="1"/>
    <n v="29"/>
    <n v="2"/>
    <s v="Other"/>
    <n v="3"/>
    <x v="0"/>
    <n v="48"/>
    <n v="3"/>
    <x v="0"/>
    <x v="1"/>
    <x v="2"/>
    <x v="0"/>
    <n v="4011"/>
    <n v="7968"/>
    <n v="4"/>
    <s v="No"/>
    <n v="16"/>
    <n v="3"/>
    <n v="2"/>
    <n v="2"/>
    <n v="0"/>
    <n v="2"/>
    <n v="2"/>
    <n v="0"/>
    <n v="0"/>
    <n v="0"/>
    <n v="0"/>
  </r>
  <r>
    <s v="Cynthia Carter"/>
    <n v="22"/>
    <x v="4"/>
    <s v="Yes"/>
    <x v="1"/>
    <s v="Travel_Rarely"/>
    <n v="283"/>
    <x v="0"/>
    <n v="1"/>
    <n v="3"/>
    <s v="Other"/>
    <n v="4"/>
    <x v="1"/>
    <n v="52"/>
    <n v="2"/>
    <x v="3"/>
    <x v="4"/>
    <x v="1"/>
    <x v="1"/>
    <n v="4774"/>
    <n v="4176"/>
    <n v="3"/>
    <s v="No"/>
    <n v="11"/>
    <n v="3"/>
    <n v="2"/>
    <n v="1"/>
    <n v="0"/>
    <n v="1"/>
    <n v="2"/>
    <n v="0"/>
    <n v="0"/>
    <n v="0"/>
    <n v="0"/>
  </r>
  <r>
    <s v="Justin Allen"/>
    <n v="48"/>
    <x v="2"/>
    <s v="Yes"/>
    <x v="1"/>
    <s v="Travel_Rarely"/>
    <n v="990"/>
    <x v="1"/>
    <n v="6"/>
    <n v="2"/>
    <s v="Marketing"/>
    <n v="1"/>
    <x v="0"/>
    <n v="43"/>
    <n v="3"/>
    <x v="3"/>
    <x v="1"/>
    <x v="0"/>
    <x v="0"/>
    <n v="4040"/>
    <n v="16379"/>
    <n v="3"/>
    <s v="No"/>
    <n v="13"/>
    <n v="3"/>
    <n v="3"/>
    <n v="0"/>
    <n v="24"/>
    <n v="4"/>
    <n v="3"/>
    <n v="3"/>
    <n v="0"/>
    <n v="1"/>
    <n v="3"/>
  </r>
  <r>
    <s v="Eric Thompson"/>
    <n v="28"/>
    <x v="1"/>
    <s v="No"/>
    <x v="0"/>
    <s v="Travel_Rarely"/>
    <n v="231"/>
    <x v="0"/>
    <n v="4"/>
    <n v="3"/>
    <s v="Technical Degree"/>
    <n v="3"/>
    <x v="0"/>
    <n v="63"/>
    <n v="1"/>
    <x v="0"/>
    <x v="5"/>
    <x v="0"/>
    <x v="1"/>
    <n v="6656"/>
    <n v="21396"/>
    <n v="3"/>
    <s v="Yes"/>
    <n v="11"/>
    <n v="3"/>
    <n v="4"/>
    <n v="0"/>
    <n v="5"/>
    <n v="3"/>
    <n v="4"/>
    <n v="5"/>
    <n v="2"/>
    <n v="3"/>
    <n v="0"/>
  </r>
  <r>
    <s v="Helen Adams"/>
    <n v="43"/>
    <x v="0"/>
    <s v="No"/>
    <x v="0"/>
    <s v="Travel_Rarely"/>
    <n v="515"/>
    <x v="0"/>
    <n v="10"/>
    <n v="3"/>
    <s v="Medical"/>
    <n v="1"/>
    <x v="0"/>
    <n v="93"/>
    <n v="1"/>
    <x v="3"/>
    <x v="3"/>
    <x v="2"/>
    <x v="1"/>
    <n v="5605"/>
    <n v="6180"/>
    <n v="2"/>
    <s v="No"/>
    <n v="11"/>
    <n v="3"/>
    <n v="4"/>
    <n v="2"/>
    <n v="19"/>
    <n v="2"/>
    <n v="2"/>
    <n v="2"/>
    <n v="2"/>
    <n v="1"/>
    <n v="2"/>
  </r>
  <r>
    <s v="Mark Thomas"/>
    <n v="35"/>
    <x v="0"/>
    <s v="Yes"/>
    <x v="1"/>
    <s v="Travel_Rarely"/>
    <n v="1079"/>
    <x v="0"/>
    <n v="1"/>
    <n v="3"/>
    <s v="Technical Degree"/>
    <n v="3"/>
    <x v="1"/>
    <n v="85"/>
    <n v="3"/>
    <x v="3"/>
    <x v="5"/>
    <x v="0"/>
    <x v="1"/>
    <n v="5032"/>
    <n v="2544"/>
    <n v="2"/>
    <s v="No"/>
    <n v="13"/>
    <n v="3"/>
    <n v="4"/>
    <n v="1"/>
    <n v="14"/>
    <n v="0"/>
    <n v="3"/>
    <n v="4"/>
    <n v="2"/>
    <n v="3"/>
    <n v="3"/>
  </r>
  <r>
    <s v="Melissa Hill"/>
    <n v="29"/>
    <x v="1"/>
    <s v="No"/>
    <x v="0"/>
    <s v="Travel_Rarely"/>
    <n v="1461"/>
    <x v="1"/>
    <n v="14"/>
    <n v="2"/>
    <s v="Other"/>
    <n v="3"/>
    <x v="1"/>
    <n v="79"/>
    <n v="3"/>
    <x v="4"/>
    <x v="7"/>
    <x v="3"/>
    <x v="1"/>
    <n v="9194"/>
    <n v="25412"/>
    <n v="1"/>
    <s v="No"/>
    <n v="11"/>
    <n v="3"/>
    <n v="3"/>
    <n v="0"/>
    <n v="10"/>
    <n v="6"/>
    <n v="1"/>
    <n v="7"/>
    <n v="6"/>
    <n v="0"/>
    <n v="7"/>
  </r>
  <r>
    <s v="Pamela Adams"/>
    <n v="29"/>
    <x v="1"/>
    <s v="No"/>
    <x v="0"/>
    <s v="Travel_Rarely"/>
    <n v="1352"/>
    <x v="0"/>
    <n v="1"/>
    <n v="3"/>
    <s v="Life Sciences"/>
    <n v="4"/>
    <x v="1"/>
    <n v="90"/>
    <n v="3"/>
    <x v="0"/>
    <x v="3"/>
    <x v="3"/>
    <x v="1"/>
    <n v="6334"/>
    <n v="15055"/>
    <n v="4"/>
    <s v="No"/>
    <n v="13"/>
    <n v="3"/>
    <n v="4"/>
    <n v="1"/>
    <n v="9"/>
    <n v="1"/>
    <n v="3"/>
    <n v="5"/>
    <n v="0"/>
    <n v="1"/>
    <n v="5"/>
  </r>
  <r>
    <s v="Carol Torres"/>
    <n v="38"/>
    <x v="0"/>
    <s v="No"/>
    <x v="0"/>
    <s v="Travel_Rarely"/>
    <n v="514"/>
    <x v="1"/>
    <n v="8"/>
    <n v="3"/>
    <s v="Marketing"/>
    <n v="3"/>
    <x v="1"/>
    <n v="58"/>
    <n v="3"/>
    <x v="0"/>
    <x v="1"/>
    <x v="2"/>
    <x v="2"/>
    <n v="7032"/>
    <n v="3284"/>
    <n v="2"/>
    <s v="No"/>
    <n v="16"/>
    <n v="4"/>
    <n v="3"/>
    <n v="0"/>
    <n v="15"/>
    <n v="0"/>
    <n v="2"/>
    <n v="0"/>
    <n v="0"/>
    <n v="0"/>
    <n v="0"/>
  </r>
  <r>
    <s v="Kenneth Gonzalez"/>
    <n v="42"/>
    <x v="0"/>
    <s v="Yes"/>
    <x v="1"/>
    <s v="Travel_Rarely"/>
    <n v="706"/>
    <x v="1"/>
    <n v="3"/>
    <n v="3"/>
    <s v="Marketing"/>
    <n v="4"/>
    <x v="1"/>
    <n v="38"/>
    <n v="3"/>
    <x v="3"/>
    <x v="7"/>
    <x v="3"/>
    <x v="1"/>
    <n v="6713"/>
    <n v="11268"/>
    <n v="1"/>
    <s v="Yes"/>
    <n v="16"/>
    <n v="3"/>
    <n v="3"/>
    <n v="0"/>
    <n v="16"/>
    <n v="3"/>
    <n v="1"/>
    <n v="1"/>
    <n v="1"/>
    <n v="1"/>
    <n v="1"/>
  </r>
  <r>
    <s v="Jerry Torres"/>
    <n v="36"/>
    <x v="0"/>
    <s v="No"/>
    <x v="0"/>
    <s v="Travel_Frequently"/>
    <n v="278"/>
    <x v="0"/>
    <n v="25"/>
    <n v="2"/>
    <s v="Other"/>
    <n v="4"/>
    <x v="1"/>
    <n v="61"/>
    <n v="3"/>
    <x v="3"/>
    <x v="4"/>
    <x v="3"/>
    <x v="1"/>
    <n v="5188"/>
    <n v="20344"/>
    <n v="3"/>
    <s v="No"/>
    <n v="13"/>
    <n v="3"/>
    <n v="3"/>
    <n v="1"/>
    <n v="12"/>
    <n v="0"/>
    <n v="3"/>
    <n v="2"/>
    <n v="1"/>
    <n v="2"/>
    <n v="2"/>
  </r>
  <r>
    <s v="Frank Garcia"/>
    <n v="47"/>
    <x v="2"/>
    <s v="No"/>
    <x v="0"/>
    <s v="Travel_Rarely"/>
    <n v="1224"/>
    <x v="0"/>
    <n v="16"/>
    <n v="4"/>
    <s v="Life Sciences"/>
    <n v="3"/>
    <x v="0"/>
    <n v="75"/>
    <n v="3"/>
    <x v="2"/>
    <x v="2"/>
    <x v="0"/>
    <x v="0"/>
    <n v="14431"/>
    <n v="25202"/>
    <n v="4"/>
    <s v="Yes"/>
    <n v="12"/>
    <n v="3"/>
    <n v="3"/>
    <n v="1"/>
    <n v="29"/>
    <n v="4"/>
    <n v="3"/>
    <n v="24"/>
    <n v="2"/>
    <n v="3"/>
    <n v="5"/>
  </r>
  <r>
    <s v="Kathleen Thomas"/>
    <n v="33"/>
    <x v="1"/>
    <s v="No"/>
    <x v="0"/>
    <s v="Travel_Rarely"/>
    <n v="316"/>
    <x v="0"/>
    <n v="12"/>
    <n v="2"/>
    <s v="Other"/>
    <n v="4"/>
    <x v="1"/>
    <n v="85"/>
    <n v="3"/>
    <x v="3"/>
    <x v="5"/>
    <x v="2"/>
    <x v="1"/>
    <n v="4399"/>
    <n v="3892"/>
    <n v="4"/>
    <s v="No"/>
    <n v="23"/>
    <n v="3"/>
    <n v="4"/>
    <n v="1"/>
    <n v="10"/>
    <n v="2"/>
    <n v="3"/>
    <n v="3"/>
    <n v="3"/>
    <n v="0"/>
    <n v="1"/>
  </r>
  <r>
    <s v="Patricia Nguyen"/>
    <n v="28"/>
    <x v="1"/>
    <s v="No"/>
    <x v="0"/>
    <s v="Travel_Rarely"/>
    <n v="1267"/>
    <x v="0"/>
    <n v="1"/>
    <n v="3"/>
    <s v="Life Sciences"/>
    <n v="3"/>
    <x v="1"/>
    <n v="47"/>
    <n v="3"/>
    <x v="0"/>
    <x v="3"/>
    <x v="3"/>
    <x v="0"/>
    <n v="5664"/>
    <n v="2390"/>
    <n v="2"/>
    <s v="No"/>
    <n v="17"/>
    <n v="3"/>
    <n v="3"/>
    <n v="2"/>
    <n v="5"/>
    <n v="2"/>
    <n v="3"/>
    <n v="5"/>
    <n v="5"/>
    <n v="1"/>
    <n v="1"/>
  </r>
  <r>
    <s v="Frank Campbell"/>
    <n v="20"/>
    <x v="4"/>
    <s v="No"/>
    <x v="0"/>
    <s v="Travel_Rarely"/>
    <n v="1001"/>
    <x v="1"/>
    <n v="2"/>
    <n v="5"/>
    <s v="Marketing"/>
    <n v="2"/>
    <x v="0"/>
    <n v="67"/>
    <n v="2"/>
    <x v="3"/>
    <x v="6"/>
    <x v="2"/>
    <x v="0"/>
    <n v="3314"/>
    <n v="23529"/>
    <n v="2"/>
    <s v="No"/>
    <n v="11"/>
    <n v="3"/>
    <n v="2"/>
    <n v="1"/>
    <n v="0"/>
    <n v="2"/>
    <n v="3"/>
    <n v="0"/>
    <n v="0"/>
    <n v="0"/>
    <n v="0"/>
  </r>
  <r>
    <s v="Joseph Torres"/>
    <n v="41"/>
    <x v="0"/>
    <s v="No"/>
    <x v="0"/>
    <s v="Travel_Frequently"/>
    <n v="294"/>
    <x v="0"/>
    <n v="1"/>
    <n v="3"/>
    <s v="Technical Degree"/>
    <n v="3"/>
    <x v="0"/>
    <n v="44"/>
    <n v="1"/>
    <x v="3"/>
    <x v="1"/>
    <x v="2"/>
    <x v="0"/>
    <n v="5500"/>
    <n v="2646"/>
    <n v="2"/>
    <s v="No"/>
    <n v="18"/>
    <n v="3"/>
    <n v="4"/>
    <n v="0"/>
    <n v="20"/>
    <n v="2"/>
    <n v="2"/>
    <n v="1"/>
    <n v="1"/>
    <n v="0"/>
    <n v="1"/>
  </r>
  <r>
    <s v="Donna Campbell"/>
    <n v="31"/>
    <x v="1"/>
    <s v="Yes"/>
    <x v="1"/>
    <s v="Travel_Rarely"/>
    <n v="593"/>
    <x v="0"/>
    <n v="2"/>
    <n v="3"/>
    <s v="Life Sciences"/>
    <n v="1"/>
    <x v="1"/>
    <n v="84"/>
    <n v="3"/>
    <x v="3"/>
    <x v="5"/>
    <x v="0"/>
    <x v="1"/>
    <n v="4964"/>
    <n v="19810"/>
    <n v="4"/>
    <s v="Yes"/>
    <n v="11"/>
    <n v="3"/>
    <n v="3"/>
    <n v="0"/>
    <n v="9"/>
    <n v="1"/>
    <n v="3"/>
    <n v="0"/>
    <n v="0"/>
    <n v="0"/>
    <n v="0"/>
  </r>
  <r>
    <s v="Rachel Garcia"/>
    <n v="36"/>
    <x v="0"/>
    <s v="No"/>
    <x v="0"/>
    <s v="Travel_Rarely"/>
    <n v="226"/>
    <x v="0"/>
    <n v="4"/>
    <n v="1"/>
    <s v="Other"/>
    <n v="2"/>
    <x v="0"/>
    <n v="98"/>
    <n v="3"/>
    <x v="4"/>
    <x v="0"/>
    <x v="2"/>
    <x v="0"/>
    <n v="9272"/>
    <n v="4268"/>
    <n v="3"/>
    <s v="No"/>
    <n v="18"/>
    <n v="3"/>
    <n v="1"/>
    <n v="1"/>
    <n v="11"/>
    <n v="3"/>
    <n v="3"/>
    <n v="11"/>
    <n v="11"/>
    <n v="2"/>
    <n v="0"/>
  </r>
  <r>
    <s v="Alexander Lopez"/>
    <n v="44"/>
    <x v="0"/>
    <s v="No"/>
    <x v="0"/>
    <s v="Travel_Rarely"/>
    <n v="774"/>
    <x v="2"/>
    <n v="20"/>
    <n v="1"/>
    <s v="Other"/>
    <n v="3"/>
    <x v="0"/>
    <n v="95"/>
    <n v="3"/>
    <x v="4"/>
    <x v="8"/>
    <x v="0"/>
    <x v="1"/>
    <n v="11261"/>
    <n v="13141"/>
    <n v="1"/>
    <s v="No"/>
    <n v="12"/>
    <n v="3"/>
    <n v="2"/>
    <n v="1"/>
    <n v="21"/>
    <n v="5"/>
    <n v="3"/>
    <n v="5"/>
    <n v="1"/>
    <n v="2"/>
    <n v="0"/>
  </r>
  <r>
    <s v="Anthony Wright"/>
    <n v="35"/>
    <x v="0"/>
    <s v="No"/>
    <x v="0"/>
    <s v="Travel_Rarely"/>
    <n v="100"/>
    <x v="1"/>
    <n v="29"/>
    <n v="5"/>
    <s v="Marketing"/>
    <n v="3"/>
    <x v="0"/>
    <n v="80"/>
    <n v="2"/>
    <x v="0"/>
    <x v="7"/>
    <x v="0"/>
    <x v="2"/>
    <n v="7711"/>
    <n v="7957"/>
    <n v="2"/>
    <s v="No"/>
    <n v="17"/>
    <n v="3"/>
    <n v="1"/>
    <n v="0"/>
    <n v="13"/>
    <n v="3"/>
    <n v="1"/>
    <n v="1"/>
    <n v="0"/>
    <n v="1"/>
    <n v="1"/>
  </r>
  <r>
    <s v="Benjamin Adams"/>
    <n v="33"/>
    <x v="1"/>
    <s v="No"/>
    <x v="0"/>
    <s v="Travel_Rarely"/>
    <n v="1200"/>
    <x v="1"/>
    <n v="6"/>
    <n v="4"/>
    <s v="Life Sciences"/>
    <n v="4"/>
    <x v="0"/>
    <n v="35"/>
    <n v="3"/>
    <x v="1"/>
    <x v="1"/>
    <x v="0"/>
    <x v="0"/>
    <n v="9576"/>
    <n v="8474"/>
    <n v="4"/>
    <s v="No"/>
    <n v="12"/>
    <n v="3"/>
    <n v="2"/>
    <n v="0"/>
    <n v="11"/>
    <n v="3"/>
    <n v="4"/>
    <n v="11"/>
    <n v="9"/>
    <n v="0"/>
    <n v="4"/>
  </r>
  <r>
    <s v="Christine Wright"/>
    <n v="30"/>
    <x v="1"/>
    <s v="No"/>
    <x v="0"/>
    <s v="Travel_Rarely"/>
    <n v="988"/>
    <x v="1"/>
    <n v="10"/>
    <n v="3"/>
    <s v="Marketing"/>
    <n v="4"/>
    <x v="1"/>
    <n v="90"/>
    <n v="3"/>
    <x v="3"/>
    <x v="6"/>
    <x v="2"/>
    <x v="0"/>
    <n v="4285"/>
    <n v="24115"/>
    <n v="3"/>
    <s v="No"/>
    <n v="13"/>
    <n v="3"/>
    <n v="2"/>
    <n v="0"/>
    <n v="8"/>
    <n v="5"/>
    <n v="2"/>
    <n v="2"/>
    <n v="2"/>
    <n v="1"/>
    <n v="2"/>
  </r>
  <r>
    <s v="Shirley Hernandez"/>
    <n v="41"/>
    <x v="0"/>
    <s v="Yes"/>
    <x v="1"/>
    <s v="Travel_Rarely"/>
    <n v="153"/>
    <x v="0"/>
    <n v="1"/>
    <n v="4"/>
    <s v="Medical"/>
    <n v="2"/>
    <x v="0"/>
    <n v="84"/>
    <n v="3"/>
    <x v="1"/>
    <x v="4"/>
    <x v="2"/>
    <x v="0"/>
    <n v="8816"/>
    <n v="13102"/>
    <n v="4"/>
    <s v="Yes"/>
    <n v="13"/>
    <n v="3"/>
    <n v="2"/>
    <n v="1"/>
    <n v="18"/>
    <n v="3"/>
    <n v="2"/>
    <n v="17"/>
    <n v="4"/>
    <n v="0"/>
    <n v="3"/>
  </r>
  <r>
    <s v="Jonathan Brown"/>
    <n v="30"/>
    <x v="1"/>
    <s v="No"/>
    <x v="0"/>
    <s v="Travel_Rarely"/>
    <n v="301"/>
    <x v="1"/>
    <n v="16"/>
    <n v="3"/>
    <s v="Medical"/>
    <n v="4"/>
    <x v="0"/>
    <n v="93"/>
    <n v="3"/>
    <x v="3"/>
    <x v="7"/>
    <x v="3"/>
    <x v="2"/>
    <n v="5056"/>
    <n v="19920"/>
    <n v="2"/>
    <s v="No"/>
    <n v="14"/>
    <n v="3"/>
    <n v="3"/>
    <n v="0"/>
    <n v="7"/>
    <n v="1"/>
    <n v="3"/>
    <n v="3"/>
    <n v="1"/>
    <n v="0"/>
    <n v="1"/>
  </r>
  <r>
    <s v="John Green"/>
    <n v="34"/>
    <x v="1"/>
    <s v="No"/>
    <x v="0"/>
    <s v="Travel_Rarely"/>
    <n v="487"/>
    <x v="1"/>
    <n v="3"/>
    <n v="3"/>
    <s v="Marketing"/>
    <n v="2"/>
    <x v="0"/>
    <n v="47"/>
    <n v="3"/>
    <x v="3"/>
    <x v="6"/>
    <x v="2"/>
    <x v="2"/>
    <n v="5802"/>
    <n v="19634"/>
    <n v="3"/>
    <s v="No"/>
    <n v="17"/>
    <n v="3"/>
    <n v="2"/>
    <n v="1"/>
    <n v="12"/>
    <n v="1"/>
    <n v="3"/>
    <n v="0"/>
    <n v="0"/>
    <n v="0"/>
    <n v="0"/>
  </r>
  <r>
    <s v="Linda Nelson"/>
    <n v="25"/>
    <x v="4"/>
    <s v="No"/>
    <x v="0"/>
    <s v="Non-Travel"/>
    <n v="1450"/>
    <x v="2"/>
    <n v="12"/>
    <n v="3"/>
    <s v="Life Sciences"/>
    <n v="4"/>
    <x v="1"/>
    <n v="83"/>
    <n v="1"/>
    <x v="3"/>
    <x v="1"/>
    <x v="2"/>
    <x v="0"/>
    <n v="5544"/>
    <n v="22089"/>
    <n v="1"/>
    <s v="No"/>
    <n v="11"/>
    <n v="3"/>
    <n v="3"/>
    <n v="0"/>
    <n v="6"/>
    <n v="1"/>
    <n v="3"/>
    <n v="0"/>
    <n v="0"/>
    <n v="0"/>
    <n v="0"/>
  </r>
  <r>
    <s v="Robert Flores"/>
    <n v="33"/>
    <x v="1"/>
    <s v="No"/>
    <x v="0"/>
    <s v="Travel_Frequently"/>
    <n v="1128"/>
    <x v="0"/>
    <n v="4"/>
    <n v="3"/>
    <s v="Medical"/>
    <n v="1"/>
    <x v="1"/>
    <n v="30"/>
    <n v="3"/>
    <x v="0"/>
    <x v="1"/>
    <x v="3"/>
    <x v="1"/>
    <n v="5191"/>
    <n v="14075"/>
    <n v="4"/>
    <s v="No"/>
    <n v="15"/>
    <n v="3"/>
    <n v="2"/>
    <n v="1"/>
    <n v="11"/>
    <n v="6"/>
    <n v="3"/>
    <n v="9"/>
    <n v="0"/>
    <n v="1"/>
    <n v="5"/>
  </r>
  <r>
    <s v="Jeffrey Hernandez"/>
    <n v="36"/>
    <x v="0"/>
    <s v="No"/>
    <x v="0"/>
    <s v="Travel_Frequently"/>
    <n v="1395"/>
    <x v="0"/>
    <n v="12"/>
    <n v="3"/>
    <s v="Life Sciences"/>
    <n v="3"/>
    <x v="1"/>
    <n v="72"/>
    <n v="2"/>
    <x v="3"/>
    <x v="3"/>
    <x v="3"/>
    <x v="1"/>
    <n v="7248"/>
    <n v="9283"/>
    <n v="3"/>
    <s v="Yes"/>
    <n v="13"/>
    <n v="3"/>
    <n v="1"/>
    <n v="2"/>
    <n v="16"/>
    <n v="2"/>
    <n v="3"/>
    <n v="3"/>
    <n v="3"/>
    <n v="1"/>
    <n v="1"/>
  </r>
  <r>
    <s v="Larry Robinson"/>
    <n v="49"/>
    <x v="2"/>
    <s v="No"/>
    <x v="0"/>
    <s v="Travel_Rarely"/>
    <n v="751"/>
    <x v="0"/>
    <n v="4"/>
    <n v="3"/>
    <s v="Other"/>
    <n v="4"/>
    <x v="1"/>
    <n v="78"/>
    <n v="3"/>
    <x v="0"/>
    <x v="4"/>
    <x v="3"/>
    <x v="0"/>
    <n v="8513"/>
    <n v="23213"/>
    <n v="2"/>
    <s v="Yes"/>
    <n v="11"/>
    <n v="4"/>
    <n v="1"/>
    <n v="1"/>
    <n v="26"/>
    <n v="5"/>
    <n v="3"/>
    <n v="8"/>
    <n v="2"/>
    <n v="0"/>
    <n v="0"/>
  </r>
  <r>
    <s v="John Smith"/>
    <n v="38"/>
    <x v="0"/>
    <s v="No"/>
    <x v="0"/>
    <s v="Travel_Frequently"/>
    <n v="707"/>
    <x v="0"/>
    <n v="1"/>
    <n v="3"/>
    <s v="Medical"/>
    <n v="1"/>
    <x v="0"/>
    <n v="55"/>
    <n v="3"/>
    <x v="3"/>
    <x v="1"/>
    <x v="0"/>
    <x v="2"/>
    <n v="4863"/>
    <n v="26174"/>
    <n v="5"/>
    <s v="No"/>
    <n v="11"/>
    <n v="4"/>
    <n v="1"/>
    <n v="0"/>
    <n v="16"/>
    <n v="3"/>
    <n v="2"/>
    <n v="0"/>
    <n v="0"/>
    <n v="0"/>
    <n v="0"/>
  </r>
  <r>
    <s v="Timothy Roberts"/>
    <n v="22"/>
    <x v="4"/>
    <s v="Yes"/>
    <x v="1"/>
    <s v="Travel_Rarely"/>
    <n v="755"/>
    <x v="0"/>
    <n v="9"/>
    <n v="2"/>
    <s v="Other"/>
    <n v="3"/>
    <x v="0"/>
    <n v="37"/>
    <n v="2"/>
    <x v="3"/>
    <x v="5"/>
    <x v="1"/>
    <x v="1"/>
    <n v="2657"/>
    <n v="9644"/>
    <n v="2"/>
    <s v="No"/>
    <n v="20"/>
    <n v="3"/>
    <n v="1"/>
    <n v="3"/>
    <n v="0"/>
    <n v="4"/>
    <n v="2"/>
    <n v="0"/>
    <n v="0"/>
    <n v="0"/>
    <n v="0"/>
  </r>
  <r>
    <s v="Rachel Lee"/>
    <n v="39"/>
    <x v="0"/>
    <s v="No"/>
    <x v="0"/>
    <s v="Travel_Rarely"/>
    <n v="576"/>
    <x v="0"/>
    <n v="21"/>
    <n v="2"/>
    <s v="Medical"/>
    <n v="2"/>
    <x v="1"/>
    <n v="56"/>
    <n v="3"/>
    <x v="2"/>
    <x v="0"/>
    <x v="1"/>
    <x v="2"/>
    <n v="12339"/>
    <n v="26832"/>
    <n v="2"/>
    <s v="Yes"/>
    <n v="11"/>
    <n v="3"/>
    <n v="4"/>
    <n v="3"/>
    <n v="15"/>
    <n v="3"/>
    <n v="2"/>
    <n v="15"/>
    <n v="3"/>
    <n v="2"/>
    <n v="0"/>
  </r>
  <r>
    <s v="Janet Young"/>
    <n v="41"/>
    <x v="0"/>
    <s v="No"/>
    <x v="0"/>
    <s v="Travel_Rarely"/>
    <n v="1068"/>
    <x v="0"/>
    <n v="24"/>
    <n v="2"/>
    <s v="Life Sciences"/>
    <n v="4"/>
    <x v="1"/>
    <n v="33"/>
    <n v="3"/>
    <x v="1"/>
    <x v="0"/>
    <x v="2"/>
    <x v="1"/>
    <n v="10347"/>
    <n v="25060"/>
    <n v="1"/>
    <s v="No"/>
    <n v="15"/>
    <n v="3"/>
    <n v="2"/>
    <n v="1"/>
    <n v="16"/>
    <n v="2"/>
    <n v="2"/>
    <n v="15"/>
    <n v="1"/>
    <n v="3"/>
    <n v="1"/>
  </r>
  <r>
    <s v="Stephanie Carter"/>
    <n v="42"/>
    <x v="0"/>
    <s v="Yes"/>
    <x v="1"/>
    <s v="Travel_Frequently"/>
    <n v="408"/>
    <x v="0"/>
    <n v="3"/>
    <n v="3"/>
    <s v="Medical"/>
    <n v="2"/>
    <x v="0"/>
    <n v="81"/>
    <n v="2"/>
    <x v="3"/>
    <x v="0"/>
    <x v="1"/>
    <x v="1"/>
    <n v="6443"/>
    <n v="18702"/>
    <n v="3"/>
    <s v="Yes"/>
    <n v="16"/>
    <n v="3"/>
    <n v="4"/>
    <n v="3"/>
    <n v="22"/>
    <n v="3"/>
    <n v="3"/>
    <n v="0"/>
    <n v="0"/>
    <n v="0"/>
    <n v="0"/>
  </r>
  <r>
    <s v="Daniel Walker"/>
    <n v="47"/>
    <x v="2"/>
    <s v="No"/>
    <x v="0"/>
    <s v="Travel_Rarely"/>
    <n v="912"/>
    <x v="2"/>
    <n v="1"/>
    <n v="3"/>
    <s v="Other"/>
    <n v="4"/>
    <x v="0"/>
    <n v="66"/>
    <n v="3"/>
    <x v="3"/>
    <x v="1"/>
    <x v="0"/>
    <x v="0"/>
    <n v="7390"/>
    <n v="23877"/>
    <n v="3"/>
    <s v="Yes"/>
    <n v="18"/>
    <n v="3"/>
    <n v="4"/>
    <n v="0"/>
    <n v="22"/>
    <n v="0"/>
    <n v="3"/>
    <n v="0"/>
    <n v="0"/>
    <n v="0"/>
    <n v="0"/>
  </r>
  <r>
    <s v="Nicholas Wright"/>
    <n v="29"/>
    <x v="1"/>
    <s v="No"/>
    <x v="0"/>
    <s v="Travel_Rarely"/>
    <n v="516"/>
    <x v="1"/>
    <n v="11"/>
    <n v="5"/>
    <s v="Medical"/>
    <n v="3"/>
    <x v="0"/>
    <n v="67"/>
    <n v="3"/>
    <x v="3"/>
    <x v="7"/>
    <x v="2"/>
    <x v="2"/>
    <n v="2649"/>
    <n v="7247"/>
    <n v="6"/>
    <s v="No"/>
    <n v="14"/>
    <n v="3"/>
    <n v="3"/>
    <n v="3"/>
    <n v="3"/>
    <n v="6"/>
    <n v="3"/>
    <n v="3"/>
    <n v="3"/>
    <n v="0"/>
    <n v="3"/>
  </r>
  <r>
    <s v="Gregory Thomas"/>
    <n v="36"/>
    <x v="0"/>
    <s v="No"/>
    <x v="0"/>
    <s v="Travel_Rarely"/>
    <n v="125"/>
    <x v="0"/>
    <n v="4"/>
    <n v="4"/>
    <s v="Technical Degree"/>
    <n v="1"/>
    <x v="0"/>
    <n v="39"/>
    <n v="1"/>
    <x v="1"/>
    <x v="3"/>
    <x v="0"/>
    <x v="1"/>
    <n v="10541"/>
    <n v="18558"/>
    <n v="3"/>
    <s v="No"/>
    <n v="15"/>
    <n v="3"/>
    <n v="3"/>
    <n v="1"/>
    <n v="15"/>
    <n v="1"/>
    <n v="2"/>
    <n v="15"/>
    <n v="1"/>
    <n v="7"/>
    <n v="0"/>
  </r>
  <r>
    <s v="Christopher Moore"/>
    <n v="21"/>
    <x v="4"/>
    <s v="No"/>
    <x v="0"/>
    <s v="Travel_Rarely"/>
    <n v="803"/>
    <x v="0"/>
    <n v="8"/>
    <n v="3"/>
    <s v="Medical"/>
    <n v="2"/>
    <x v="0"/>
    <n v="69"/>
    <n v="3"/>
    <x v="3"/>
    <x v="1"/>
    <x v="0"/>
    <x v="0"/>
    <n v="3828"/>
    <n v="5809"/>
    <n v="6"/>
    <s v="No"/>
    <n v="11"/>
    <n v="3"/>
    <n v="4"/>
    <n v="1"/>
    <n v="0"/>
    <n v="4"/>
    <n v="3"/>
    <n v="0"/>
    <n v="0"/>
    <n v="0"/>
    <n v="0"/>
  </r>
  <r>
    <s v="William Smith"/>
    <n v="26"/>
    <x v="1"/>
    <s v="No"/>
    <x v="0"/>
    <s v="Travel_Rarely"/>
    <n v="626"/>
    <x v="0"/>
    <n v="5"/>
    <n v="4"/>
    <s v="Life Sciences"/>
    <n v="1"/>
    <x v="1"/>
    <n v="31"/>
    <n v="2"/>
    <x v="0"/>
    <x v="5"/>
    <x v="2"/>
    <x v="1"/>
    <n v="5625"/>
    <n v="17932"/>
    <n v="1"/>
    <s v="No"/>
    <n v="12"/>
    <n v="3"/>
    <n v="2"/>
    <n v="1"/>
    <n v="5"/>
    <n v="2"/>
    <n v="2"/>
    <n v="5"/>
    <n v="0"/>
    <n v="1"/>
    <n v="1"/>
  </r>
  <r>
    <s v="James Wright"/>
    <n v="51"/>
    <x v="2"/>
    <s v="No"/>
    <x v="0"/>
    <s v="Travel_Rarely"/>
    <n v="1384"/>
    <x v="1"/>
    <n v="7"/>
    <n v="2"/>
    <s v="Marketing"/>
    <n v="3"/>
    <x v="0"/>
    <n v="75"/>
    <n v="2"/>
    <x v="3"/>
    <x v="1"/>
    <x v="3"/>
    <x v="2"/>
    <n v="5467"/>
    <n v="6327"/>
    <n v="3"/>
    <s v="No"/>
    <n v="19"/>
    <n v="3"/>
    <n v="1"/>
    <n v="2"/>
    <n v="27"/>
    <n v="3"/>
    <n v="2"/>
    <n v="0"/>
    <n v="0"/>
    <n v="0"/>
    <n v="0"/>
  </r>
  <r>
    <s v="Emily Lewis"/>
    <n v="24"/>
    <x v="4"/>
    <s v="No"/>
    <x v="0"/>
    <s v="Travel_Rarely"/>
    <n v="1322"/>
    <x v="0"/>
    <n v="11"/>
    <n v="2"/>
    <s v="Other"/>
    <n v="4"/>
    <x v="0"/>
    <n v="56"/>
    <n v="2"/>
    <x v="3"/>
    <x v="4"/>
    <x v="3"/>
    <x v="1"/>
    <n v="4204"/>
    <n v="17531"/>
    <n v="2"/>
    <s v="No"/>
    <n v="11"/>
    <n v="3"/>
    <n v="1"/>
    <n v="1"/>
    <n v="0"/>
    <n v="4"/>
    <n v="3"/>
    <n v="0"/>
    <n v="0"/>
    <n v="0"/>
    <n v="0"/>
  </r>
  <r>
    <s v="Carol Scott"/>
    <n v="28"/>
    <x v="1"/>
    <s v="No"/>
    <x v="0"/>
    <s v="Non-Travel"/>
    <n v="220"/>
    <x v="0"/>
    <n v="5"/>
    <n v="1"/>
    <s v="Life Sciences"/>
    <n v="3"/>
    <x v="1"/>
    <n v="61"/>
    <n v="2"/>
    <x v="3"/>
    <x v="2"/>
    <x v="0"/>
    <x v="1"/>
    <n v="4165"/>
    <n v="23140"/>
    <n v="3"/>
    <s v="No"/>
    <n v="16"/>
    <n v="4"/>
    <n v="3"/>
    <n v="0"/>
    <n v="2"/>
    <n v="2"/>
    <n v="3"/>
    <n v="2"/>
    <n v="2"/>
    <n v="0"/>
    <n v="2"/>
  </r>
  <r>
    <s v="Debra Hill"/>
    <n v="41"/>
    <x v="0"/>
    <s v="No"/>
    <x v="0"/>
    <s v="Travel_Rarely"/>
    <n v="475"/>
    <x v="0"/>
    <n v="8"/>
    <n v="4"/>
    <s v="Medical"/>
    <n v="4"/>
    <x v="1"/>
    <n v="35"/>
    <n v="1"/>
    <x v="0"/>
    <x v="1"/>
    <x v="1"/>
    <x v="0"/>
    <n v="5626"/>
    <n v="21051"/>
    <n v="3"/>
    <s v="No"/>
    <n v="17"/>
    <n v="3"/>
    <n v="3"/>
    <n v="0"/>
    <n v="20"/>
    <n v="2"/>
    <n v="3"/>
    <n v="7"/>
    <n v="0"/>
    <n v="0"/>
    <n v="7"/>
  </r>
  <r>
    <s v="Melissa Harris"/>
    <n v="41"/>
    <x v="0"/>
    <s v="No"/>
    <x v="0"/>
    <s v="Travel_Rarely"/>
    <n v="124"/>
    <x v="0"/>
    <n v="4"/>
    <n v="2"/>
    <s v="Life Sciences"/>
    <n v="4"/>
    <x v="1"/>
    <n v="45"/>
    <n v="3"/>
    <x v="3"/>
    <x v="4"/>
    <x v="2"/>
    <x v="1"/>
    <n v="5238"/>
    <n v="7624"/>
    <n v="4"/>
    <s v="No"/>
    <n v="15"/>
    <n v="3"/>
    <n v="2"/>
    <n v="0"/>
    <n v="14"/>
    <n v="2"/>
    <n v="2"/>
    <n v="1"/>
    <n v="0"/>
    <n v="1"/>
    <n v="0"/>
  </r>
  <r>
    <s v="Jacob Thompson"/>
    <n v="22"/>
    <x v="4"/>
    <s v="No"/>
    <x v="0"/>
    <s v="Travel_Frequently"/>
    <n v="1293"/>
    <x v="1"/>
    <n v="2"/>
    <n v="4"/>
    <s v="Other"/>
    <n v="4"/>
    <x v="0"/>
    <n v="34"/>
    <n v="3"/>
    <x v="3"/>
    <x v="7"/>
    <x v="2"/>
    <x v="1"/>
    <n v="2655"/>
    <n v="17025"/>
    <n v="3"/>
    <s v="No"/>
    <n v="11"/>
    <n v="3"/>
    <n v="2"/>
    <n v="0"/>
    <n v="0"/>
    <n v="4"/>
    <n v="3"/>
    <n v="0"/>
    <n v="0"/>
    <n v="0"/>
    <n v="0"/>
  </r>
  <r>
    <s v="Rachel Lewis"/>
    <n v="41"/>
    <x v="0"/>
    <s v="No"/>
    <x v="0"/>
    <s v="Travel_Rarely"/>
    <n v="418"/>
    <x v="0"/>
    <n v="11"/>
    <n v="2"/>
    <s v="Other"/>
    <n v="2"/>
    <x v="1"/>
    <n v="82"/>
    <n v="3"/>
    <x v="0"/>
    <x v="0"/>
    <x v="2"/>
    <x v="1"/>
    <n v="9063"/>
    <n v="16164"/>
    <n v="5"/>
    <s v="No"/>
    <n v="18"/>
    <n v="3"/>
    <n v="4"/>
    <n v="2"/>
    <n v="17"/>
    <n v="2"/>
    <n v="3"/>
    <n v="8"/>
    <n v="1"/>
    <n v="1"/>
    <n v="1"/>
  </r>
  <r>
    <s v="Barbara Lopez"/>
    <n v="36"/>
    <x v="0"/>
    <s v="No"/>
    <x v="0"/>
    <s v="Travel_Rarely"/>
    <n v="1185"/>
    <x v="1"/>
    <n v="7"/>
    <n v="4"/>
    <s v="Life Sciences"/>
    <n v="1"/>
    <x v="1"/>
    <n v="36"/>
    <n v="2"/>
    <x v="0"/>
    <x v="7"/>
    <x v="0"/>
    <x v="2"/>
    <n v="7044"/>
    <n v="10303"/>
    <n v="1"/>
    <s v="No"/>
    <n v="18"/>
    <n v="3"/>
    <n v="4"/>
    <n v="0"/>
    <n v="15"/>
    <n v="4"/>
    <n v="2"/>
    <n v="5"/>
    <n v="1"/>
    <n v="2"/>
    <n v="4"/>
  </r>
  <r>
    <s v="Daniel Lewis"/>
    <n v="60"/>
    <x v="3"/>
    <s v="No"/>
    <x v="0"/>
    <s v="Non-Travel"/>
    <n v="1264"/>
    <x v="1"/>
    <n v="1"/>
    <n v="3"/>
    <s v="Medical"/>
    <n v="4"/>
    <x v="0"/>
    <n v="76"/>
    <n v="2"/>
    <x v="4"/>
    <x v="7"/>
    <x v="0"/>
    <x v="2"/>
    <n v="11012"/>
    <n v="5066"/>
    <n v="6"/>
    <s v="No"/>
    <n v="13"/>
    <n v="3"/>
    <n v="4"/>
    <n v="0"/>
    <n v="34"/>
    <n v="4"/>
    <n v="2"/>
    <n v="10"/>
    <n v="10"/>
    <n v="0"/>
    <n v="1"/>
  </r>
  <r>
    <s v="Andrew Williams"/>
    <n v="34"/>
    <x v="1"/>
    <s v="No"/>
    <x v="0"/>
    <s v="Travel_Rarely"/>
    <n v="1474"/>
    <x v="0"/>
    <n v="1"/>
    <n v="3"/>
    <s v="Life Sciences"/>
    <n v="4"/>
    <x v="1"/>
    <n v="68"/>
    <n v="3"/>
    <x v="0"/>
    <x v="4"/>
    <x v="0"/>
    <x v="0"/>
    <n v="7522"/>
    <n v="5881"/>
    <n v="1"/>
    <s v="No"/>
    <n v="11"/>
    <n v="3"/>
    <n v="2"/>
    <n v="0"/>
    <n v="9"/>
    <n v="4"/>
    <n v="1"/>
    <n v="4"/>
    <n v="3"/>
    <n v="1"/>
    <n v="4"/>
  </r>
  <r>
    <s v="Janet Flores"/>
    <n v="36"/>
    <x v="0"/>
    <s v="No"/>
    <x v="0"/>
    <s v="Travel_Rarely"/>
    <n v="1483"/>
    <x v="0"/>
    <n v="4"/>
    <n v="5"/>
    <s v="Technical Degree"/>
    <n v="3"/>
    <x v="1"/>
    <n v="89"/>
    <n v="2"/>
    <x v="0"/>
    <x v="3"/>
    <x v="2"/>
    <x v="2"/>
    <n v="6832"/>
    <n v="4249"/>
    <n v="4"/>
    <s v="No"/>
    <n v="11"/>
    <n v="3"/>
    <n v="3"/>
    <n v="0"/>
    <n v="15"/>
    <n v="4"/>
    <n v="3"/>
    <n v="5"/>
    <n v="3"/>
    <n v="5"/>
    <n v="0"/>
  </r>
  <r>
    <s v="Jason Nelson"/>
    <n v="51"/>
    <x v="2"/>
    <s v="Yes"/>
    <x v="1"/>
    <s v="Travel_Rarely"/>
    <n v="1010"/>
    <x v="1"/>
    <n v="3"/>
    <n v="4"/>
    <s v="Medical"/>
    <n v="3"/>
    <x v="0"/>
    <n v="80"/>
    <n v="3"/>
    <x v="2"/>
    <x v="6"/>
    <x v="3"/>
    <x v="2"/>
    <n v="13176"/>
    <n v="24959"/>
    <n v="2"/>
    <s v="No"/>
    <n v="12"/>
    <n v="3"/>
    <n v="3"/>
    <n v="1"/>
    <n v="31"/>
    <n v="0"/>
    <n v="3"/>
    <n v="19"/>
    <n v="5"/>
    <n v="3"/>
    <n v="0"/>
  </r>
  <r>
    <s v="Raymond Moore"/>
    <n v="43"/>
    <x v="0"/>
    <s v="No"/>
    <x v="0"/>
    <s v="Travel_Rarely"/>
    <n v="267"/>
    <x v="0"/>
    <n v="21"/>
    <n v="3"/>
    <s v="Other"/>
    <n v="3"/>
    <x v="1"/>
    <n v="83"/>
    <n v="2"/>
    <x v="3"/>
    <x v="2"/>
    <x v="2"/>
    <x v="1"/>
    <n v="6866"/>
    <n v="23100"/>
    <n v="3"/>
    <s v="Yes"/>
    <n v="15"/>
    <n v="3"/>
    <n v="3"/>
    <n v="1"/>
    <n v="24"/>
    <n v="3"/>
    <n v="2"/>
    <n v="0"/>
    <n v="0"/>
    <n v="0"/>
    <n v="0"/>
  </r>
  <r>
    <s v="Thomas Davis"/>
    <n v="32"/>
    <x v="1"/>
    <s v="No"/>
    <x v="0"/>
    <s v="Travel_Rarely"/>
    <n v="378"/>
    <x v="1"/>
    <n v="1"/>
    <n v="3"/>
    <s v="Life Sciences"/>
    <n v="3"/>
    <x v="1"/>
    <n v="58"/>
    <n v="3"/>
    <x v="4"/>
    <x v="1"/>
    <x v="1"/>
    <x v="1"/>
    <n v="8041"/>
    <n v="8574"/>
    <n v="2"/>
    <s v="No"/>
    <n v="19"/>
    <n v="3"/>
    <n v="1"/>
    <n v="2"/>
    <n v="10"/>
    <n v="4"/>
    <n v="3"/>
    <n v="10"/>
    <n v="2"/>
    <n v="0"/>
    <n v="0"/>
  </r>
  <r>
    <s v="Jeffrey Jones"/>
    <n v="47"/>
    <x v="2"/>
    <s v="Yes"/>
    <x v="1"/>
    <s v="Travel_Frequently"/>
    <n v="1400"/>
    <x v="0"/>
    <n v="8"/>
    <n v="5"/>
    <s v="Medical"/>
    <n v="4"/>
    <x v="0"/>
    <n v="86"/>
    <n v="2"/>
    <x v="3"/>
    <x v="4"/>
    <x v="2"/>
    <x v="0"/>
    <n v="6238"/>
    <n v="18709"/>
    <n v="7"/>
    <s v="No"/>
    <n v="16"/>
    <n v="3"/>
    <n v="4"/>
    <n v="2"/>
    <n v="26"/>
    <n v="2"/>
    <n v="2"/>
    <n v="1"/>
    <n v="1"/>
    <n v="1"/>
    <n v="1"/>
  </r>
  <r>
    <s v="George Brown"/>
    <n v="41"/>
    <x v="0"/>
    <s v="No"/>
    <x v="0"/>
    <s v="Travel_Rarely"/>
    <n v="306"/>
    <x v="0"/>
    <n v="23"/>
    <n v="4"/>
    <s v="Medical"/>
    <n v="4"/>
    <x v="1"/>
    <n v="76"/>
    <n v="3"/>
    <x v="0"/>
    <x v="0"/>
    <x v="1"/>
    <x v="1"/>
    <n v="7387"/>
    <n v="19824"/>
    <n v="2"/>
    <s v="No"/>
    <n v="16"/>
    <n v="3"/>
    <n v="3"/>
    <n v="1"/>
    <n v="22"/>
    <n v="2"/>
    <n v="3"/>
    <n v="2"/>
    <n v="0"/>
    <n v="1"/>
    <n v="2"/>
  </r>
  <r>
    <s v="Rachel Campbell"/>
    <n v="42"/>
    <x v="0"/>
    <s v="Yes"/>
    <x v="1"/>
    <s v="Travel_Rarely"/>
    <n v="863"/>
    <x v="1"/>
    <n v="16"/>
    <n v="3"/>
    <s v="Medical"/>
    <n v="1"/>
    <x v="1"/>
    <n v="89"/>
    <n v="3"/>
    <x v="0"/>
    <x v="1"/>
    <x v="0"/>
    <x v="2"/>
    <n v="6323"/>
    <n v="21310"/>
    <n v="3"/>
    <s v="No"/>
    <n v="13"/>
    <n v="4"/>
    <n v="3"/>
    <n v="2"/>
    <n v="20"/>
    <n v="3"/>
    <n v="3"/>
    <n v="1"/>
    <n v="0"/>
    <n v="1"/>
    <n v="1"/>
  </r>
  <r>
    <s v="Mark Hall"/>
    <n v="32"/>
    <x v="1"/>
    <s v="No"/>
    <x v="0"/>
    <s v="Travel_Rarely"/>
    <n v="870"/>
    <x v="1"/>
    <n v="1"/>
    <n v="3"/>
    <s v="Medical"/>
    <n v="2"/>
    <x v="1"/>
    <n v="57"/>
    <n v="3"/>
    <x v="0"/>
    <x v="1"/>
    <x v="2"/>
    <x v="2"/>
    <n v="5471"/>
    <n v="19086"/>
    <n v="3"/>
    <s v="Yes"/>
    <n v="13"/>
    <n v="3"/>
    <n v="1"/>
    <n v="0"/>
    <n v="10"/>
    <n v="2"/>
    <n v="3"/>
    <n v="5"/>
    <n v="3"/>
    <n v="0"/>
    <n v="3"/>
  </r>
  <r>
    <s v="Andrew Young"/>
    <n v="38"/>
    <x v="0"/>
    <s v="No"/>
    <x v="0"/>
    <s v="Travel_Rarely"/>
    <n v="441"/>
    <x v="1"/>
    <n v="4"/>
    <n v="3"/>
    <s v="Life Sciences"/>
    <n v="1"/>
    <x v="0"/>
    <n v="66"/>
    <n v="3"/>
    <x v="4"/>
    <x v="1"/>
    <x v="3"/>
    <x v="2"/>
    <n v="7620"/>
    <n v="18211"/>
    <n v="3"/>
    <s v="Yes"/>
    <n v="11"/>
    <n v="3"/>
    <n v="2"/>
    <n v="0"/>
    <n v="12"/>
    <n v="0"/>
    <n v="3"/>
    <n v="12"/>
    <n v="4"/>
    <n v="0"/>
    <n v="5"/>
  </r>
  <r>
    <s v="Edward Green"/>
    <n v="32"/>
    <x v="1"/>
    <s v="Yes"/>
    <x v="1"/>
    <s v="Travel_Rarely"/>
    <n v="620"/>
    <x v="0"/>
    <n v="2"/>
    <n v="4"/>
    <s v="Medical"/>
    <n v="2"/>
    <x v="1"/>
    <n v="59"/>
    <n v="3"/>
    <x v="3"/>
    <x v="0"/>
    <x v="0"/>
    <x v="0"/>
    <n v="5598"/>
    <n v="17660"/>
    <n v="1"/>
    <s v="Yes"/>
    <n v="14"/>
    <n v="4"/>
    <n v="4"/>
    <n v="2"/>
    <n v="6"/>
    <n v="3"/>
    <n v="4"/>
    <n v="2"/>
    <n v="2"/>
    <n v="2"/>
    <n v="1"/>
  </r>
  <r>
    <s v="Nancy Smith"/>
    <n v="37"/>
    <x v="0"/>
    <s v="No"/>
    <x v="0"/>
    <s v="Travel_Rarely"/>
    <n v="968"/>
    <x v="1"/>
    <n v="4"/>
    <n v="3"/>
    <s v="Marketing"/>
    <n v="1"/>
    <x v="0"/>
    <n v="73"/>
    <n v="3"/>
    <x v="3"/>
    <x v="6"/>
    <x v="2"/>
    <x v="1"/>
    <n v="3371"/>
    <n v="18042"/>
    <n v="5"/>
    <s v="No"/>
    <n v="17"/>
    <n v="3"/>
    <n v="4"/>
    <n v="1"/>
    <n v="10"/>
    <n v="1"/>
    <n v="3"/>
    <n v="4"/>
    <n v="1"/>
    <n v="4"/>
    <n v="0"/>
  </r>
  <r>
    <s v="Mark Davis"/>
    <n v="36"/>
    <x v="0"/>
    <s v="No"/>
    <x v="0"/>
    <s v="Non-Travel"/>
    <n v="474"/>
    <x v="0"/>
    <n v="1"/>
    <n v="4"/>
    <s v="Medical"/>
    <n v="3"/>
    <x v="1"/>
    <n v="73"/>
    <n v="3"/>
    <x v="4"/>
    <x v="5"/>
    <x v="0"/>
    <x v="0"/>
    <n v="8063"/>
    <n v="21709"/>
    <n v="3"/>
    <s v="No"/>
    <n v="11"/>
    <n v="3"/>
    <n v="1"/>
    <n v="0"/>
    <n v="12"/>
    <n v="1"/>
    <n v="4"/>
    <n v="12"/>
    <n v="1"/>
    <n v="3"/>
    <n v="1"/>
  </r>
  <r>
    <s v="Amanda Clark"/>
    <n v="54"/>
    <x v="2"/>
    <s v="No"/>
    <x v="0"/>
    <s v="Travel_Rarely"/>
    <n v="1485"/>
    <x v="0"/>
    <n v="6"/>
    <n v="4"/>
    <s v="Other"/>
    <n v="2"/>
    <x v="0"/>
    <n v="47"/>
    <n v="4"/>
    <x v="3"/>
    <x v="4"/>
    <x v="2"/>
    <x v="2"/>
    <n v="6713"/>
    <n v="19326"/>
    <n v="3"/>
    <s v="No"/>
    <n v="13"/>
    <n v="3"/>
    <n v="1"/>
    <n v="1"/>
    <n v="32"/>
    <n v="0"/>
    <n v="2"/>
    <n v="2"/>
    <n v="1"/>
    <n v="1"/>
    <n v="2"/>
  </r>
  <r>
    <s v="Jennifer Gonzalez"/>
    <n v="37"/>
    <x v="0"/>
    <s v="No"/>
    <x v="0"/>
    <s v="Travel_Rarely"/>
    <n v="917"/>
    <x v="0"/>
    <n v="3"/>
    <n v="2"/>
    <s v="Other"/>
    <n v="4"/>
    <x v="0"/>
    <n v="33"/>
    <n v="2"/>
    <x v="3"/>
    <x v="1"/>
    <x v="0"/>
    <x v="1"/>
    <n v="6485"/>
    <n v="9730"/>
    <n v="0"/>
    <s v="No"/>
    <n v="17"/>
    <n v="3"/>
    <n v="4"/>
    <n v="0"/>
    <n v="17"/>
    <n v="3"/>
    <n v="2"/>
    <n v="4"/>
    <n v="1"/>
    <n v="0"/>
    <n v="1"/>
  </r>
  <r>
    <s v="Angela Perez"/>
    <n v="35"/>
    <x v="0"/>
    <s v="No"/>
    <x v="0"/>
    <s v="Travel_Rarely"/>
    <n v="1317"/>
    <x v="1"/>
    <n v="29"/>
    <n v="2"/>
    <s v="Other"/>
    <n v="2"/>
    <x v="0"/>
    <n v="50"/>
    <n v="4"/>
    <x v="4"/>
    <x v="1"/>
    <x v="1"/>
    <x v="2"/>
    <n v="8745"/>
    <n v="26950"/>
    <n v="7"/>
    <s v="Yes"/>
    <n v="11"/>
    <n v="3"/>
    <n v="3"/>
    <n v="2"/>
    <n v="14"/>
    <n v="3"/>
    <n v="3"/>
    <n v="14"/>
    <n v="5"/>
    <n v="2"/>
    <n v="1"/>
  </r>
  <r>
    <s v="Catherine Roberts"/>
    <n v="29"/>
    <x v="1"/>
    <s v="Yes"/>
    <x v="1"/>
    <s v="Travel_Frequently"/>
    <n v="513"/>
    <x v="0"/>
    <n v="1"/>
    <n v="1"/>
    <s v="Life Sciences"/>
    <n v="1"/>
    <x v="0"/>
    <n v="56"/>
    <n v="2"/>
    <x v="0"/>
    <x v="0"/>
    <x v="0"/>
    <x v="0"/>
    <n v="6618"/>
    <n v="7190"/>
    <n v="1"/>
    <s v="Yes"/>
    <n v="15"/>
    <n v="4"/>
    <n v="3"/>
    <n v="1"/>
    <n v="5"/>
    <n v="2"/>
    <n v="3"/>
    <n v="5"/>
    <n v="4"/>
    <n v="1"/>
    <n v="3"/>
  </r>
  <r>
    <s v="Catherine Perez"/>
    <n v="46"/>
    <x v="2"/>
    <s v="No"/>
    <x v="0"/>
    <s v="Travel_Rarely"/>
    <n v="797"/>
    <x v="1"/>
    <n v="4"/>
    <n v="2"/>
    <s v="Marketing"/>
    <n v="4"/>
    <x v="0"/>
    <n v="42"/>
    <n v="3"/>
    <x v="3"/>
    <x v="1"/>
    <x v="0"/>
    <x v="2"/>
    <n v="5007"/>
    <n v="24705"/>
    <n v="6"/>
    <s v="Yes"/>
    <n v="21"/>
    <n v="3"/>
    <n v="3"/>
    <n v="1"/>
    <n v="22"/>
    <n v="1"/>
    <n v="3"/>
    <n v="1"/>
    <n v="0"/>
    <n v="1"/>
    <n v="1"/>
  </r>
  <r>
    <s v="Donna Sanchez"/>
    <n v="34"/>
    <x v="1"/>
    <s v="Yes"/>
    <x v="1"/>
    <s v="Travel_Rarely"/>
    <n v="1459"/>
    <x v="0"/>
    <n v="10"/>
    <n v="4"/>
    <s v="Medical"/>
    <n v="4"/>
    <x v="0"/>
    <n v="92"/>
    <n v="3"/>
    <x v="0"/>
    <x v="2"/>
    <x v="1"/>
    <x v="1"/>
    <n v="7045"/>
    <n v="23801"/>
    <n v="1"/>
    <s v="No"/>
    <n v="17"/>
    <n v="3"/>
    <n v="1"/>
    <n v="0"/>
    <n v="11"/>
    <n v="6"/>
    <n v="2"/>
    <n v="5"/>
    <n v="3"/>
    <n v="0"/>
    <n v="1"/>
  </r>
  <r>
    <s v="Jonathan Robinson"/>
    <n v="34"/>
    <x v="1"/>
    <s v="No"/>
    <x v="0"/>
    <s v="Non-Travel"/>
    <n v="1232"/>
    <x v="0"/>
    <n v="11"/>
    <n v="2"/>
    <s v="Technical Degree"/>
    <n v="1"/>
    <x v="1"/>
    <n v="79"/>
    <n v="3"/>
    <x v="3"/>
    <x v="2"/>
    <x v="0"/>
    <x v="1"/>
    <n v="6358"/>
    <n v="25443"/>
    <n v="4"/>
    <s v="No"/>
    <n v="11"/>
    <n v="3"/>
    <n v="3"/>
    <n v="1"/>
    <n v="12"/>
    <n v="1"/>
    <n v="1"/>
    <n v="2"/>
    <n v="0"/>
    <n v="1"/>
    <n v="2"/>
  </r>
  <r>
    <s v="Daniel Allen"/>
    <n v="33"/>
    <x v="1"/>
    <s v="No"/>
    <x v="0"/>
    <s v="Travel_Rarely"/>
    <n v="1194"/>
    <x v="0"/>
    <n v="4"/>
    <n v="3"/>
    <s v="Technical Degree"/>
    <n v="4"/>
    <x v="1"/>
    <n v="54"/>
    <n v="3"/>
    <x v="3"/>
    <x v="0"/>
    <x v="0"/>
    <x v="2"/>
    <n v="5265"/>
    <n v="26130"/>
    <n v="2"/>
    <s v="Yes"/>
    <n v="13"/>
    <n v="4"/>
    <n v="3"/>
    <n v="1"/>
    <n v="9"/>
    <n v="4"/>
    <n v="3"/>
    <n v="2"/>
    <n v="0"/>
    <n v="1"/>
    <n v="0"/>
  </r>
  <r>
    <s v="Shirley Thompson"/>
    <n v="40"/>
    <x v="0"/>
    <s v="Yes"/>
    <x v="1"/>
    <s v="Non-Travel"/>
    <n v="145"/>
    <x v="0"/>
    <n v="4"/>
    <n v="4"/>
    <s v="Medical"/>
    <n v="1"/>
    <x v="0"/>
    <n v="76"/>
    <n v="3"/>
    <x v="4"/>
    <x v="0"/>
    <x v="0"/>
    <x v="0"/>
    <n v="10557"/>
    <n v="9758"/>
    <n v="1"/>
    <s v="No"/>
    <n v="15"/>
    <n v="3"/>
    <n v="3"/>
    <n v="1"/>
    <n v="17"/>
    <n v="1"/>
    <n v="4"/>
    <n v="10"/>
    <n v="3"/>
    <n v="3"/>
    <n v="5"/>
  </r>
  <r>
    <s v="Jerry Hernandez"/>
    <n v="32"/>
    <x v="1"/>
    <s v="No"/>
    <x v="0"/>
    <s v="Travel_Rarely"/>
    <n v="162"/>
    <x v="0"/>
    <n v="1"/>
    <n v="3"/>
    <s v="Life Sciences"/>
    <n v="4"/>
    <x v="0"/>
    <n v="77"/>
    <n v="3"/>
    <x v="3"/>
    <x v="0"/>
    <x v="0"/>
    <x v="0"/>
    <n v="4665"/>
    <n v="23590"/>
    <n v="4"/>
    <s v="No"/>
    <n v="15"/>
    <n v="3"/>
    <n v="3"/>
    <n v="0"/>
    <n v="8"/>
    <n v="6"/>
    <n v="3"/>
    <n v="0"/>
    <n v="0"/>
    <n v="0"/>
    <n v="0"/>
  </r>
  <r>
    <s v="Emma Scott"/>
    <n v="47"/>
    <x v="2"/>
    <s v="No"/>
    <x v="0"/>
    <s v="Travel_Rarely"/>
    <n v="627"/>
    <x v="2"/>
    <n v="5"/>
    <n v="4"/>
    <s v="Life Sciences"/>
    <n v="2"/>
    <x v="0"/>
    <n v="57"/>
    <n v="3"/>
    <x v="3"/>
    <x v="8"/>
    <x v="3"/>
    <x v="0"/>
    <n v="5312"/>
    <n v="20785"/>
    <n v="3"/>
    <s v="No"/>
    <n v="17"/>
    <n v="3"/>
    <n v="3"/>
    <n v="3"/>
    <n v="28"/>
    <n v="4"/>
    <n v="3"/>
    <n v="0"/>
    <n v="0"/>
    <n v="0"/>
    <n v="0"/>
  </r>
  <r>
    <s v="Kimberly Hill"/>
    <n v="35"/>
    <x v="0"/>
    <s v="No"/>
    <x v="0"/>
    <s v="Travel_Rarely"/>
    <n v="1061"/>
    <x v="1"/>
    <n v="21"/>
    <n v="3"/>
    <s v="Other"/>
    <n v="1"/>
    <x v="0"/>
    <n v="90"/>
    <n v="3"/>
    <x v="3"/>
    <x v="7"/>
    <x v="2"/>
    <x v="2"/>
    <n v="5412"/>
    <n v="4673"/>
    <n v="8"/>
    <s v="No"/>
    <n v="20"/>
    <n v="3"/>
    <n v="4"/>
    <n v="0"/>
    <n v="11"/>
    <n v="2"/>
    <n v="4"/>
    <n v="4"/>
    <n v="1"/>
    <n v="3"/>
    <n v="1"/>
  </r>
  <r>
    <s v="Benjamin Jones"/>
    <n v="25"/>
    <x v="4"/>
    <s v="No"/>
    <x v="0"/>
    <s v="Travel_Rarely"/>
    <n v="1160"/>
    <x v="0"/>
    <n v="7"/>
    <n v="1"/>
    <s v="Technical Degree"/>
    <n v="4"/>
    <x v="0"/>
    <n v="43"/>
    <n v="3"/>
    <x v="3"/>
    <x v="2"/>
    <x v="0"/>
    <x v="1"/>
    <n v="5178"/>
    <n v="14186"/>
    <n v="2"/>
    <s v="No"/>
    <n v="17"/>
    <n v="3"/>
    <n v="4"/>
    <n v="1"/>
    <n v="4"/>
    <n v="1"/>
    <n v="3"/>
    <n v="4"/>
    <n v="1"/>
    <n v="4"/>
    <n v="4"/>
  </r>
  <r>
    <s v="Lisa Smith"/>
    <n v="33"/>
    <x v="1"/>
    <s v="No"/>
    <x v="0"/>
    <s v="Travel_Rarely"/>
    <n v="206"/>
    <x v="1"/>
    <n v="1"/>
    <n v="4"/>
    <s v="Other"/>
    <n v="3"/>
    <x v="0"/>
    <n v="98"/>
    <n v="1"/>
    <x v="4"/>
    <x v="6"/>
    <x v="2"/>
    <x v="0"/>
    <n v="7219"/>
    <n v="25136"/>
    <n v="2"/>
    <s v="No"/>
    <n v="19"/>
    <n v="3"/>
    <n v="1"/>
    <n v="1"/>
    <n v="10"/>
    <n v="3"/>
    <n v="3"/>
    <n v="7"/>
    <n v="0"/>
    <n v="4"/>
    <n v="6"/>
  </r>
  <r>
    <s v="Samuel Martinez"/>
    <n v="46"/>
    <x v="2"/>
    <s v="Yes"/>
    <x v="1"/>
    <s v="Travel_Rarely"/>
    <n v="842"/>
    <x v="0"/>
    <n v="19"/>
    <n v="4"/>
    <s v="Life Sciences"/>
    <n v="4"/>
    <x v="0"/>
    <n v="63"/>
    <n v="3"/>
    <x v="0"/>
    <x v="5"/>
    <x v="0"/>
    <x v="1"/>
    <n v="6459"/>
    <n v="2794"/>
    <n v="4"/>
    <s v="Yes"/>
    <n v="13"/>
    <n v="3"/>
    <n v="3"/>
    <n v="1"/>
    <n v="17"/>
    <n v="2"/>
    <n v="1"/>
    <n v="4"/>
    <n v="3"/>
    <n v="0"/>
    <n v="2"/>
  </r>
  <r>
    <s v="Michael Moore"/>
    <n v="46"/>
    <x v="2"/>
    <s v="No"/>
    <x v="0"/>
    <s v="Travel_Rarely"/>
    <n v="657"/>
    <x v="0"/>
    <n v="2"/>
    <n v="4"/>
    <s v="Other"/>
    <n v="2"/>
    <x v="1"/>
    <n v="74"/>
    <n v="4"/>
    <x v="3"/>
    <x v="3"/>
    <x v="2"/>
    <x v="1"/>
    <n v="4173"/>
    <n v="22114"/>
    <n v="2"/>
    <s v="Yes"/>
    <n v="15"/>
    <n v="3"/>
    <n v="4"/>
    <n v="0"/>
    <n v="23"/>
    <n v="0"/>
    <n v="4"/>
    <n v="1"/>
    <n v="1"/>
    <n v="1"/>
    <n v="1"/>
  </r>
  <r>
    <s v="Robert Anderson"/>
    <n v="38"/>
    <x v="0"/>
    <s v="No"/>
    <x v="0"/>
    <s v="Travel_Rarely"/>
    <n v="1295"/>
    <x v="0"/>
    <n v="1"/>
    <n v="2"/>
    <s v="Other"/>
    <n v="1"/>
    <x v="0"/>
    <n v="42"/>
    <n v="2"/>
    <x v="3"/>
    <x v="1"/>
    <x v="0"/>
    <x v="1"/>
    <n v="5650"/>
    <n v="17123"/>
    <n v="2"/>
    <s v="No"/>
    <n v="14"/>
    <n v="3"/>
    <n v="3"/>
    <n v="2"/>
    <n v="15"/>
    <n v="5"/>
    <n v="2"/>
    <n v="3"/>
    <n v="0"/>
    <n v="1"/>
    <n v="2"/>
  </r>
  <r>
    <s v="George Williams"/>
    <n v="41"/>
    <x v="0"/>
    <s v="No"/>
    <x v="0"/>
    <s v="Travel_Rarely"/>
    <n v="557"/>
    <x v="0"/>
    <n v="16"/>
    <n v="3"/>
    <s v="Other"/>
    <n v="2"/>
    <x v="0"/>
    <n v="46"/>
    <n v="3"/>
    <x v="3"/>
    <x v="4"/>
    <x v="3"/>
    <x v="1"/>
    <n v="3103"/>
    <n v="14661"/>
    <n v="4"/>
    <s v="No"/>
    <n v="11"/>
    <n v="3"/>
    <n v="4"/>
    <n v="1"/>
    <n v="13"/>
    <n v="4"/>
    <n v="2"/>
    <n v="3"/>
    <n v="0"/>
    <n v="0"/>
    <n v="1"/>
  </r>
  <r>
    <s v="Ashley Rodriguez"/>
    <n v="25"/>
    <x v="4"/>
    <s v="No"/>
    <x v="0"/>
    <s v="Travel_Rarely"/>
    <n v="905"/>
    <x v="1"/>
    <n v="12"/>
    <n v="2"/>
    <s v="Life Sciences"/>
    <n v="4"/>
    <x v="0"/>
    <n v="62"/>
    <n v="3"/>
    <x v="3"/>
    <x v="1"/>
    <x v="0"/>
    <x v="1"/>
    <n v="4179"/>
    <n v="23020"/>
    <n v="1"/>
    <s v="No"/>
    <n v="15"/>
    <n v="3"/>
    <n v="2"/>
    <n v="0"/>
    <n v="3"/>
    <n v="4"/>
    <n v="2"/>
    <n v="1"/>
    <n v="0"/>
    <n v="1"/>
    <n v="1"/>
  </r>
  <r>
    <s v="Emma Lewis"/>
    <n v="49"/>
    <x v="2"/>
    <s v="No"/>
    <x v="0"/>
    <s v="Travel_Rarely"/>
    <n v="485"/>
    <x v="0"/>
    <n v="1"/>
    <n v="3"/>
    <s v="Other"/>
    <n v="3"/>
    <x v="0"/>
    <n v="85"/>
    <n v="4"/>
    <x v="3"/>
    <x v="1"/>
    <x v="0"/>
    <x v="2"/>
    <n v="6959"/>
    <n v="3301"/>
    <n v="3"/>
    <s v="No"/>
    <n v="14"/>
    <n v="3"/>
    <n v="4"/>
    <n v="0"/>
    <n v="27"/>
    <n v="1"/>
    <n v="2"/>
    <n v="3"/>
    <n v="1"/>
    <n v="0"/>
    <n v="3"/>
  </r>
  <r>
    <s v="Carol Clark"/>
    <n v="48"/>
    <x v="2"/>
    <s v="No"/>
    <x v="0"/>
    <s v="Travel_Rarely"/>
    <n v="745"/>
    <x v="0"/>
    <n v="1"/>
    <n v="3"/>
    <s v="Other"/>
    <n v="4"/>
    <x v="1"/>
    <n v="40"/>
    <n v="2"/>
    <x v="4"/>
    <x v="1"/>
    <x v="0"/>
    <x v="1"/>
    <n v="9557"/>
    <n v="3022"/>
    <n v="5"/>
    <s v="No"/>
    <n v="15"/>
    <n v="3"/>
    <n v="1"/>
    <n v="1"/>
    <n v="27"/>
    <n v="4"/>
    <n v="4"/>
    <n v="5"/>
    <n v="4"/>
    <n v="1"/>
    <n v="5"/>
  </r>
  <r>
    <s v="Charles Lee"/>
    <n v="37"/>
    <x v="0"/>
    <s v="No"/>
    <x v="0"/>
    <s v="Travel_Rarely"/>
    <n v="1269"/>
    <x v="1"/>
    <n v="1"/>
    <n v="4"/>
    <s v="Marketing"/>
    <n v="2"/>
    <x v="0"/>
    <n v="89"/>
    <n v="2"/>
    <x v="3"/>
    <x v="1"/>
    <x v="0"/>
    <x v="1"/>
    <n v="5083"/>
    <n v="23132"/>
    <n v="1"/>
    <s v="No"/>
    <n v="11"/>
    <n v="3"/>
    <n v="1"/>
    <n v="0"/>
    <n v="14"/>
    <n v="3"/>
    <n v="3"/>
    <n v="4"/>
    <n v="0"/>
    <n v="4"/>
    <n v="0"/>
  </r>
  <r>
    <s v="Patrick Thomas"/>
    <n v="36"/>
    <x v="0"/>
    <s v="Yes"/>
    <x v="1"/>
    <s v="Travel_Rarely"/>
    <n v="540"/>
    <x v="0"/>
    <n v="5"/>
    <n v="4"/>
    <s v="Medical"/>
    <n v="1"/>
    <x v="0"/>
    <n v="57"/>
    <n v="2"/>
    <x v="3"/>
    <x v="1"/>
    <x v="2"/>
    <x v="0"/>
    <n v="3639"/>
    <n v="18845"/>
    <n v="3"/>
    <s v="No"/>
    <n v="11"/>
    <n v="3"/>
    <n v="3"/>
    <n v="0"/>
    <n v="13"/>
    <n v="3"/>
    <n v="1"/>
    <n v="2"/>
    <n v="2"/>
    <n v="2"/>
    <n v="2"/>
  </r>
  <r>
    <s v="Melissa King"/>
    <n v="19"/>
    <x v="4"/>
    <s v="Yes"/>
    <x v="1"/>
    <s v="Travel_Rarely"/>
    <n v="1364"/>
    <x v="0"/>
    <n v="6"/>
    <n v="3"/>
    <s v="Other"/>
    <n v="4"/>
    <x v="0"/>
    <n v="63"/>
    <n v="3"/>
    <x v="3"/>
    <x v="4"/>
    <x v="1"/>
    <x v="2"/>
    <n v="2451"/>
    <n v="19226"/>
    <n v="4"/>
    <s v="No"/>
    <n v="20"/>
    <n v="3"/>
    <n v="2"/>
    <n v="0"/>
    <n v="0"/>
    <n v="3"/>
    <n v="4"/>
    <n v="0"/>
    <n v="0"/>
    <n v="0"/>
    <n v="0"/>
  </r>
  <r>
    <s v="Nicholas Johnson"/>
    <n v="35"/>
    <x v="0"/>
    <s v="No"/>
    <x v="0"/>
    <s v="Travel_Frequently"/>
    <n v="522"/>
    <x v="0"/>
    <n v="3"/>
    <n v="4"/>
    <s v="Medical"/>
    <n v="3"/>
    <x v="1"/>
    <n v="55"/>
    <n v="3"/>
    <x v="4"/>
    <x v="5"/>
    <x v="0"/>
    <x v="1"/>
    <n v="8128"/>
    <n v="6899"/>
    <n v="1"/>
    <s v="No"/>
    <n v="17"/>
    <n v="3"/>
    <n v="4"/>
    <n v="0"/>
    <n v="10"/>
    <n v="6"/>
    <n v="4"/>
    <n v="10"/>
    <n v="0"/>
    <n v="3"/>
    <n v="0"/>
  </r>
  <r>
    <s v="Matthew Flores"/>
    <n v="35"/>
    <x v="0"/>
    <s v="Yes"/>
    <x v="1"/>
    <s v="Travel_Rarely"/>
    <n v="255"/>
    <x v="0"/>
    <n v="19"/>
    <n v="5"/>
    <s v="Medical"/>
    <n v="4"/>
    <x v="0"/>
    <n v="48"/>
    <n v="2"/>
    <x v="3"/>
    <x v="0"/>
    <x v="3"/>
    <x v="1"/>
    <n v="3363"/>
    <n v="4479"/>
    <n v="5"/>
    <s v="Yes"/>
    <n v="13"/>
    <n v="3"/>
    <n v="4"/>
    <n v="0"/>
    <n v="12"/>
    <n v="3"/>
    <n v="3"/>
    <n v="1"/>
    <n v="1"/>
    <n v="1"/>
    <n v="1"/>
  </r>
  <r>
    <s v="Ryan Torres"/>
    <n v="26"/>
    <x v="1"/>
    <s v="No"/>
    <x v="0"/>
    <s v="Travel_Rarely"/>
    <n v="1196"/>
    <x v="1"/>
    <n v="1"/>
    <n v="1"/>
    <s v="Medical"/>
    <n v="3"/>
    <x v="0"/>
    <n v="68"/>
    <n v="3"/>
    <x v="3"/>
    <x v="7"/>
    <x v="0"/>
    <x v="1"/>
    <n v="2458"/>
    <n v="15536"/>
    <n v="4"/>
    <s v="Yes"/>
    <n v="17"/>
    <n v="3"/>
    <n v="3"/>
    <n v="1"/>
    <n v="4"/>
    <n v="6"/>
    <n v="2"/>
    <n v="0"/>
    <n v="0"/>
    <n v="0"/>
    <n v="0"/>
  </r>
  <r>
    <s v="Kevin Mitchell"/>
    <n v="45"/>
    <x v="2"/>
    <s v="Yes"/>
    <x v="1"/>
    <s v="Non-Travel"/>
    <n v="1014"/>
    <x v="0"/>
    <n v="13"/>
    <n v="3"/>
    <s v="Other"/>
    <n v="2"/>
    <x v="0"/>
    <n v="91"/>
    <n v="2"/>
    <x v="4"/>
    <x v="4"/>
    <x v="0"/>
    <x v="0"/>
    <n v="10127"/>
    <n v="17958"/>
    <n v="3"/>
    <s v="Yes"/>
    <n v="11"/>
    <n v="4"/>
    <n v="1"/>
    <n v="1"/>
    <n v="21"/>
    <n v="2"/>
    <n v="4"/>
    <n v="10"/>
    <n v="0"/>
    <n v="0"/>
    <n v="1"/>
  </r>
  <r>
    <s v="Frank Baker"/>
    <n v="43"/>
    <x v="0"/>
    <s v="No"/>
    <x v="0"/>
    <s v="Travel_Frequently"/>
    <n v="1168"/>
    <x v="0"/>
    <n v="3"/>
    <n v="2"/>
    <s v="Technical Degree"/>
    <n v="3"/>
    <x v="0"/>
    <n v="66"/>
    <n v="2"/>
    <x v="1"/>
    <x v="2"/>
    <x v="2"/>
    <x v="1"/>
    <n v="13425"/>
    <n v="25465"/>
    <n v="2"/>
    <s v="Yes"/>
    <n v="11"/>
    <n v="3"/>
    <n v="3"/>
    <n v="0"/>
    <n v="20"/>
    <n v="3"/>
    <n v="1"/>
    <n v="14"/>
    <n v="6"/>
    <n v="7"/>
    <n v="6"/>
  </r>
  <r>
    <s v="Mary Lee"/>
    <n v="42"/>
    <x v="0"/>
    <s v="No"/>
    <x v="0"/>
    <s v="Travel_Rarely"/>
    <n v="471"/>
    <x v="1"/>
    <n v="16"/>
    <n v="3"/>
    <s v="Life Sciences"/>
    <n v="3"/>
    <x v="1"/>
    <n v="93"/>
    <n v="3"/>
    <x v="0"/>
    <x v="7"/>
    <x v="2"/>
    <x v="1"/>
    <n v="7917"/>
    <n v="7538"/>
    <n v="1"/>
    <s v="No"/>
    <n v="15"/>
    <n v="3"/>
    <n v="4"/>
    <n v="0"/>
    <n v="17"/>
    <n v="6"/>
    <n v="2"/>
    <n v="8"/>
    <n v="6"/>
    <n v="1"/>
    <n v="4"/>
  </r>
  <r>
    <s v="Larry White"/>
    <n v="29"/>
    <x v="1"/>
    <s v="Yes"/>
    <x v="1"/>
    <s v="Travel_Rarely"/>
    <n v="1469"/>
    <x v="0"/>
    <n v="1"/>
    <n v="4"/>
    <s v="Technical Degree"/>
    <n v="2"/>
    <x v="0"/>
    <n v="39"/>
    <n v="2"/>
    <x v="3"/>
    <x v="5"/>
    <x v="0"/>
    <x v="2"/>
    <n v="6406"/>
    <n v="20448"/>
    <n v="7"/>
    <s v="Yes"/>
    <n v="11"/>
    <n v="3"/>
    <n v="1"/>
    <n v="2"/>
    <n v="8"/>
    <n v="2"/>
    <n v="4"/>
    <n v="0"/>
    <n v="0"/>
    <n v="0"/>
    <n v="0"/>
  </r>
  <r>
    <s v="George Ramirez"/>
    <n v="39"/>
    <x v="0"/>
    <s v="No"/>
    <x v="0"/>
    <s v="Travel_Rarely"/>
    <n v="1470"/>
    <x v="1"/>
    <n v="2"/>
    <n v="4"/>
    <s v="Other"/>
    <n v="1"/>
    <x v="0"/>
    <n v="43"/>
    <n v="3"/>
    <x v="0"/>
    <x v="1"/>
    <x v="0"/>
    <x v="0"/>
    <n v="7050"/>
    <n v="11519"/>
    <n v="1"/>
    <s v="No"/>
    <n v="15"/>
    <n v="3"/>
    <n v="1"/>
    <n v="2"/>
    <n v="18"/>
    <n v="5"/>
    <n v="3"/>
    <n v="7"/>
    <n v="1"/>
    <n v="0"/>
    <n v="1"/>
  </r>
  <r>
    <s v="Emily Anderson"/>
    <n v="39"/>
    <x v="0"/>
    <s v="No"/>
    <x v="0"/>
    <s v="Travel_Rarely"/>
    <n v="1267"/>
    <x v="1"/>
    <n v="1"/>
    <n v="2"/>
    <s v="Medical"/>
    <n v="3"/>
    <x v="1"/>
    <n v="34"/>
    <n v="3"/>
    <x v="3"/>
    <x v="1"/>
    <x v="1"/>
    <x v="2"/>
    <n v="5732"/>
    <n v="18225"/>
    <n v="4"/>
    <s v="Yes"/>
    <n v="11"/>
    <n v="3"/>
    <n v="2"/>
    <n v="1"/>
    <n v="16"/>
    <n v="2"/>
    <n v="2"/>
    <n v="0"/>
    <n v="0"/>
    <n v="0"/>
    <n v="0"/>
  </r>
  <r>
    <s v="Daniel Sanchez"/>
    <n v="34"/>
    <x v="1"/>
    <s v="No"/>
    <x v="0"/>
    <s v="Travel_Rarely"/>
    <n v="1204"/>
    <x v="0"/>
    <n v="1"/>
    <n v="3"/>
    <s v="Medical"/>
    <n v="2"/>
    <x v="0"/>
    <n v="94"/>
    <n v="3"/>
    <x v="0"/>
    <x v="5"/>
    <x v="3"/>
    <x v="1"/>
    <n v="5756"/>
    <n v="2548"/>
    <n v="1"/>
    <s v="Yes"/>
    <n v="17"/>
    <n v="3"/>
    <n v="2"/>
    <n v="0"/>
    <n v="11"/>
    <n v="4"/>
    <n v="3"/>
    <n v="6"/>
    <n v="0"/>
    <n v="2"/>
    <n v="1"/>
  </r>
  <r>
    <s v="Amy Sanchez"/>
    <n v="46"/>
    <x v="2"/>
    <s v="No"/>
    <x v="0"/>
    <s v="Travel_Rarely"/>
    <n v="505"/>
    <x v="0"/>
    <n v="3"/>
    <n v="4"/>
    <s v="Life Sciences"/>
    <n v="2"/>
    <x v="0"/>
    <n v="82"/>
    <n v="3"/>
    <x v="0"/>
    <x v="5"/>
    <x v="2"/>
    <x v="0"/>
    <n v="9076"/>
    <n v="25621"/>
    <n v="1"/>
    <s v="Yes"/>
    <n v="12"/>
    <n v="3"/>
    <n v="4"/>
    <n v="1"/>
    <n v="25"/>
    <n v="3"/>
    <n v="3"/>
    <n v="9"/>
    <n v="1"/>
    <n v="3"/>
    <n v="0"/>
  </r>
  <r>
    <s v="Donald Nelson"/>
    <n v="28"/>
    <x v="1"/>
    <s v="No"/>
    <x v="0"/>
    <s v="Travel_Rarely"/>
    <n v="497"/>
    <x v="0"/>
    <n v="1"/>
    <n v="4"/>
    <s v="Technical Degree"/>
    <n v="4"/>
    <x v="0"/>
    <n v="38"/>
    <n v="2"/>
    <x v="0"/>
    <x v="5"/>
    <x v="2"/>
    <x v="1"/>
    <n v="6306"/>
    <n v="11966"/>
    <n v="3"/>
    <s v="No"/>
    <n v="11"/>
    <n v="3"/>
    <n v="3"/>
    <n v="1"/>
    <n v="7"/>
    <n v="2"/>
    <n v="2"/>
    <n v="7"/>
    <n v="2"/>
    <n v="0"/>
    <n v="7"/>
  </r>
  <r>
    <s v="Scott Campbell"/>
    <n v="47"/>
    <x v="2"/>
    <s v="No"/>
    <x v="0"/>
    <s v="Travel_Rarely"/>
    <n v="1201"/>
    <x v="2"/>
    <n v="11"/>
    <n v="1"/>
    <s v="Life Sciences"/>
    <n v="1"/>
    <x v="0"/>
    <n v="85"/>
    <n v="2"/>
    <x v="0"/>
    <x v="8"/>
    <x v="2"/>
    <x v="1"/>
    <n v="7368"/>
    <n v="4105"/>
    <n v="2"/>
    <s v="No"/>
    <n v="12"/>
    <n v="4"/>
    <n v="3"/>
    <n v="1"/>
    <n v="24"/>
    <n v="6"/>
    <n v="3"/>
    <n v="4"/>
    <n v="2"/>
    <n v="1"/>
    <n v="1"/>
  </r>
  <r>
    <s v="Rachel Hill"/>
    <n v="28"/>
    <x v="1"/>
    <s v="Yes"/>
    <x v="1"/>
    <s v="Travel_Frequently"/>
    <n v="1056"/>
    <x v="0"/>
    <n v="6"/>
    <n v="3"/>
    <s v="Medical"/>
    <n v="3"/>
    <x v="0"/>
    <n v="84"/>
    <n v="3"/>
    <x v="3"/>
    <x v="2"/>
    <x v="2"/>
    <x v="1"/>
    <n v="4993"/>
    <n v="21980"/>
    <n v="5"/>
    <s v="No"/>
    <n v="15"/>
    <n v="3"/>
    <n v="2"/>
    <n v="1"/>
    <n v="7"/>
    <n v="3"/>
    <n v="3"/>
    <n v="2"/>
    <n v="2"/>
    <n v="0"/>
    <n v="2"/>
  </r>
  <r>
    <s v="Kathleen Harris"/>
    <n v="34"/>
    <x v="1"/>
    <s v="No"/>
    <x v="0"/>
    <s v="Travel_Frequently"/>
    <n v="698"/>
    <x v="0"/>
    <n v="1"/>
    <n v="3"/>
    <s v="Medical"/>
    <n v="2"/>
    <x v="0"/>
    <n v="78"/>
    <n v="2"/>
    <x v="0"/>
    <x v="2"/>
    <x v="0"/>
    <x v="2"/>
    <n v="8293"/>
    <n v="24145"/>
    <n v="1"/>
    <s v="Yes"/>
    <n v="19"/>
    <n v="4"/>
    <n v="1"/>
    <n v="1"/>
    <n v="14"/>
    <n v="0"/>
    <n v="3"/>
    <n v="8"/>
    <n v="1"/>
    <n v="0"/>
    <n v="7"/>
  </r>
  <r>
    <s v="Frank Ramirez"/>
    <n v="41"/>
    <x v="0"/>
    <s v="No"/>
    <x v="0"/>
    <s v="Travel_Rarely"/>
    <n v="1245"/>
    <x v="0"/>
    <n v="3"/>
    <n v="3"/>
    <s v="Life Sciences"/>
    <n v="1"/>
    <x v="1"/>
    <n v="81"/>
    <n v="3"/>
    <x v="1"/>
    <x v="5"/>
    <x v="3"/>
    <x v="0"/>
    <n v="11992"/>
    <n v="3955"/>
    <n v="2"/>
    <s v="No"/>
    <n v="11"/>
    <n v="3"/>
    <n v="4"/>
    <n v="1"/>
    <n v="22"/>
    <n v="5"/>
    <n v="3"/>
    <n v="13"/>
    <n v="0"/>
    <n v="0"/>
    <n v="2"/>
  </r>
  <r>
    <s v="Robert Jackson"/>
    <n v="42"/>
    <x v="0"/>
    <s v="Yes"/>
    <x v="1"/>
    <s v="Travel_Rarely"/>
    <n v="1370"/>
    <x v="0"/>
    <n v="1"/>
    <n v="3"/>
    <s v="Technical Degree"/>
    <n v="3"/>
    <x v="1"/>
    <n v="58"/>
    <n v="3"/>
    <x v="4"/>
    <x v="2"/>
    <x v="2"/>
    <x v="0"/>
    <n v="9700"/>
    <n v="7631"/>
    <n v="5"/>
    <s v="No"/>
    <n v="13"/>
    <n v="4"/>
    <n v="3"/>
    <n v="0"/>
    <n v="19"/>
    <n v="2"/>
    <n v="2"/>
    <n v="5"/>
    <n v="1"/>
    <n v="0"/>
    <n v="5"/>
  </r>
  <r>
    <s v="Sarah Moore"/>
    <n v="51"/>
    <x v="2"/>
    <s v="Yes"/>
    <x v="1"/>
    <s v="Travel_Rarely"/>
    <n v="451"/>
    <x v="1"/>
    <n v="20"/>
    <n v="2"/>
    <s v="Medical"/>
    <n v="4"/>
    <x v="1"/>
    <n v="62"/>
    <n v="1"/>
    <x v="0"/>
    <x v="1"/>
    <x v="3"/>
    <x v="2"/>
    <n v="7113"/>
    <n v="24276"/>
    <n v="3"/>
    <s v="Yes"/>
    <n v="13"/>
    <n v="3"/>
    <n v="4"/>
    <n v="2"/>
    <n v="27"/>
    <n v="4"/>
    <n v="3"/>
    <n v="8"/>
    <n v="2"/>
    <n v="2"/>
    <n v="7"/>
  </r>
  <r>
    <s v="John Sanchez"/>
    <n v="21"/>
    <x v="4"/>
    <s v="Yes"/>
    <x v="1"/>
    <s v="Travel_Rarely"/>
    <n v="1023"/>
    <x v="0"/>
    <n v="6"/>
    <n v="3"/>
    <s v="Medical"/>
    <n v="4"/>
    <x v="1"/>
    <n v="52"/>
    <n v="4"/>
    <x v="3"/>
    <x v="1"/>
    <x v="2"/>
    <x v="1"/>
    <n v="3918"/>
    <n v="24631"/>
    <n v="4"/>
    <s v="Yes"/>
    <n v="18"/>
    <n v="3"/>
    <n v="1"/>
    <n v="1"/>
    <n v="0"/>
    <n v="3"/>
    <n v="1"/>
    <n v="0"/>
    <n v="0"/>
    <n v="0"/>
    <n v="0"/>
  </r>
  <r>
    <s v="Janet Lopez"/>
    <n v="38"/>
    <x v="0"/>
    <s v="No"/>
    <x v="0"/>
    <s v="Travel_Rarely"/>
    <n v="1199"/>
    <x v="0"/>
    <n v="1"/>
    <n v="3"/>
    <s v="Technical Degree"/>
    <n v="1"/>
    <x v="0"/>
    <n v="87"/>
    <n v="4"/>
    <x v="3"/>
    <x v="1"/>
    <x v="1"/>
    <x v="0"/>
    <n v="5923"/>
    <n v="4637"/>
    <n v="5"/>
    <s v="No"/>
    <n v="16"/>
    <n v="3"/>
    <n v="4"/>
    <n v="2"/>
    <n v="15"/>
    <n v="3"/>
    <n v="3"/>
    <n v="0"/>
    <n v="0"/>
    <n v="0"/>
    <n v="0"/>
  </r>
  <r>
    <s v="Ruth Brown"/>
    <n v="27"/>
    <x v="1"/>
    <s v="No"/>
    <x v="0"/>
    <s v="Travel_Frequently"/>
    <n v="1233"/>
    <x v="1"/>
    <n v="1"/>
    <n v="4"/>
    <s v="Marketing"/>
    <n v="3"/>
    <x v="0"/>
    <n v="73"/>
    <n v="4"/>
    <x v="4"/>
    <x v="6"/>
    <x v="3"/>
    <x v="0"/>
    <n v="7997"/>
    <n v="13202"/>
    <n v="2"/>
    <s v="No"/>
    <n v="12"/>
    <n v="3"/>
    <n v="4"/>
    <n v="1"/>
    <n v="5"/>
    <n v="2"/>
    <n v="3"/>
    <n v="5"/>
    <n v="1"/>
    <n v="0"/>
    <n v="2"/>
  </r>
  <r>
    <s v="Donald Wilson"/>
    <n v="29"/>
    <x v="1"/>
    <s v="Yes"/>
    <x v="1"/>
    <s v="Travel_Rarely"/>
    <n v="856"/>
    <x v="0"/>
    <n v="3"/>
    <n v="3"/>
    <s v="Medical"/>
    <n v="2"/>
    <x v="0"/>
    <n v="34"/>
    <n v="2"/>
    <x v="3"/>
    <x v="5"/>
    <x v="3"/>
    <x v="0"/>
    <n v="4536"/>
    <n v="2689"/>
    <n v="4"/>
    <s v="Yes"/>
    <n v="11"/>
    <n v="3"/>
    <n v="4"/>
    <n v="0"/>
    <n v="5"/>
    <n v="5"/>
    <n v="4"/>
    <n v="2"/>
    <n v="0"/>
    <n v="1"/>
    <n v="2"/>
  </r>
  <r>
    <s v="Anna Flores"/>
    <n v="43"/>
    <x v="0"/>
    <s v="No"/>
    <x v="0"/>
    <s v="Travel_Rarely"/>
    <n v="968"/>
    <x v="0"/>
    <n v="9"/>
    <n v="3"/>
    <s v="Technical Degree"/>
    <n v="3"/>
    <x v="0"/>
    <n v="40"/>
    <n v="3"/>
    <x v="0"/>
    <x v="0"/>
    <x v="3"/>
    <x v="1"/>
    <n v="7075"/>
    <n v="26789"/>
    <n v="3"/>
    <s v="No"/>
    <n v="15"/>
    <n v="3"/>
    <n v="4"/>
    <n v="1"/>
    <n v="20"/>
    <n v="2"/>
    <n v="3"/>
    <n v="1"/>
    <n v="1"/>
    <n v="1"/>
    <n v="0"/>
  </r>
  <r>
    <s v="Gary Smith"/>
    <n v="38"/>
    <x v="0"/>
    <s v="Yes"/>
    <x v="1"/>
    <s v="Travel_Rarely"/>
    <n v="243"/>
    <x v="0"/>
    <n v="13"/>
    <n v="1"/>
    <s v="Life Sciences"/>
    <n v="3"/>
    <x v="0"/>
    <n v="73"/>
    <n v="2"/>
    <x v="0"/>
    <x v="2"/>
    <x v="0"/>
    <x v="2"/>
    <n v="8653"/>
    <n v="8598"/>
    <n v="2"/>
    <s v="No"/>
    <n v="15"/>
    <n v="3"/>
    <n v="4"/>
    <n v="0"/>
    <n v="17"/>
    <n v="1"/>
    <n v="2"/>
    <n v="4"/>
    <n v="1"/>
    <n v="0"/>
    <n v="2"/>
  </r>
  <r>
    <s v="Samantha Torres"/>
    <n v="35"/>
    <x v="0"/>
    <s v="No"/>
    <x v="0"/>
    <s v="Travel_Rarely"/>
    <n v="1366"/>
    <x v="0"/>
    <n v="6"/>
    <n v="3"/>
    <s v="Medical"/>
    <n v="3"/>
    <x v="0"/>
    <n v="93"/>
    <n v="3"/>
    <x v="0"/>
    <x v="4"/>
    <x v="2"/>
    <x v="1"/>
    <n v="7034"/>
    <n v="11357"/>
    <n v="2"/>
    <s v="No"/>
    <n v="11"/>
    <n v="3"/>
    <n v="4"/>
    <n v="0"/>
    <n v="13"/>
    <n v="3"/>
    <n v="4"/>
    <n v="7"/>
    <n v="0"/>
    <n v="0"/>
    <n v="1"/>
  </r>
  <r>
    <s v="Brian Wilson"/>
    <n v="49"/>
    <x v="2"/>
    <s v="No"/>
    <x v="0"/>
    <s v="Non-Travel"/>
    <n v="1474"/>
    <x v="0"/>
    <n v="4"/>
    <n v="3"/>
    <s v="Other"/>
    <n v="4"/>
    <x v="0"/>
    <n v="88"/>
    <n v="4"/>
    <x v="3"/>
    <x v="2"/>
    <x v="2"/>
    <x v="0"/>
    <n v="5805"/>
    <n v="19562"/>
    <n v="3"/>
    <s v="No"/>
    <n v="13"/>
    <n v="3"/>
    <n v="4"/>
    <n v="2"/>
    <n v="30"/>
    <n v="5"/>
    <n v="2"/>
    <n v="0"/>
    <n v="0"/>
    <n v="0"/>
    <n v="0"/>
  </r>
  <r>
    <s v="Dennis Allen"/>
    <n v="35"/>
    <x v="0"/>
    <s v="No"/>
    <x v="0"/>
    <s v="Travel_Rarely"/>
    <n v="145"/>
    <x v="1"/>
    <n v="22"/>
    <n v="4"/>
    <s v="Medical"/>
    <n v="4"/>
    <x v="0"/>
    <n v="64"/>
    <n v="3"/>
    <x v="3"/>
    <x v="1"/>
    <x v="1"/>
    <x v="0"/>
    <n v="4569"/>
    <n v="13548"/>
    <n v="2"/>
    <s v="No"/>
    <n v="12"/>
    <n v="3"/>
    <n v="2"/>
    <n v="1"/>
    <n v="12"/>
    <n v="3"/>
    <n v="3"/>
    <n v="0"/>
    <n v="0"/>
    <n v="0"/>
    <n v="0"/>
  </r>
  <r>
    <s v="Jason Lopez"/>
    <n v="36"/>
    <x v="0"/>
    <s v="No"/>
    <x v="0"/>
    <s v="Travel_Frequently"/>
    <n v="428"/>
    <x v="0"/>
    <n v="4"/>
    <n v="2"/>
    <s v="Technical Degree"/>
    <n v="1"/>
    <x v="1"/>
    <n v="36"/>
    <n v="3"/>
    <x v="1"/>
    <x v="4"/>
    <x v="2"/>
    <x v="0"/>
    <n v="10348"/>
    <n v="3320"/>
    <n v="0"/>
    <s v="No"/>
    <n v="23"/>
    <n v="3"/>
    <n v="2"/>
    <n v="0"/>
    <n v="14"/>
    <n v="1"/>
    <n v="4"/>
    <n v="12"/>
    <n v="10"/>
    <n v="1"/>
    <n v="5"/>
  </r>
  <r>
    <s v="Angela Allen"/>
    <n v="37"/>
    <x v="0"/>
    <s v="No"/>
    <x v="0"/>
    <s v="Travel_Rarely"/>
    <n v="308"/>
    <x v="0"/>
    <n v="1"/>
    <n v="3"/>
    <s v="Life Sciences"/>
    <n v="1"/>
    <x v="1"/>
    <n v="91"/>
    <n v="4"/>
    <x v="3"/>
    <x v="4"/>
    <x v="2"/>
    <x v="1"/>
    <n v="3966"/>
    <n v="11047"/>
    <n v="6"/>
    <s v="Yes"/>
    <n v="15"/>
    <n v="4"/>
    <n v="1"/>
    <n v="2"/>
    <n v="16"/>
    <n v="2"/>
    <n v="3"/>
    <n v="3"/>
    <n v="0"/>
    <n v="1"/>
    <n v="3"/>
  </r>
  <r>
    <s v="Michael Carter"/>
    <n v="33"/>
    <x v="1"/>
    <s v="No"/>
    <x v="0"/>
    <s v="Travel_Rarely"/>
    <n v="976"/>
    <x v="1"/>
    <n v="1"/>
    <n v="3"/>
    <s v="Marketing"/>
    <n v="1"/>
    <x v="0"/>
    <n v="57"/>
    <n v="2"/>
    <x v="3"/>
    <x v="6"/>
    <x v="2"/>
    <x v="1"/>
    <n v="4133"/>
    <n v="4661"/>
    <n v="0"/>
    <s v="No"/>
    <n v="17"/>
    <n v="3"/>
    <n v="4"/>
    <n v="1"/>
    <n v="12"/>
    <n v="1"/>
    <n v="3"/>
    <n v="0"/>
    <n v="0"/>
    <n v="0"/>
    <n v="0"/>
  </r>
  <r>
    <s v="Patricia Hill"/>
    <n v="33"/>
    <x v="1"/>
    <s v="No"/>
    <x v="0"/>
    <s v="Travel_Rarely"/>
    <n v="378"/>
    <x v="0"/>
    <n v="9"/>
    <n v="3"/>
    <s v="Technical Degree"/>
    <n v="4"/>
    <x v="1"/>
    <n v="72"/>
    <n v="2"/>
    <x v="4"/>
    <x v="0"/>
    <x v="0"/>
    <x v="1"/>
    <n v="9069"/>
    <n v="20102"/>
    <n v="1"/>
    <s v="Yes"/>
    <n v="11"/>
    <n v="3"/>
    <n v="3"/>
    <n v="1"/>
    <n v="9"/>
    <n v="4"/>
    <n v="1"/>
    <n v="9"/>
    <n v="1"/>
    <n v="1"/>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C8623-8B4B-4FD7-B9E2-0AAC447511E1}" name="PivotTable3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34">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5C6F5F-4C63-4B91-BB7A-AE055BCDE837}" name="PivotTable32"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34">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0"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363E9D-C42C-49C4-921E-550D57D52B73}" name="PivotTable3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B14" firstHeaderRow="1" firstDataRow="1" firstDataCol="1"/>
  <pivotFields count="34">
    <pivotField dataField="1" showAll="0"/>
    <pivotField showAll="0"/>
    <pivotField showAll="0"/>
    <pivotField showAll="0"/>
    <pivotField axis="axisRow"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loyee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9F262-FEA3-41C7-BB02-D8B6FAD8A447}" name="PivotTable30"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E1:F4" firstHeaderRow="1" firstDataRow="1" firstDataCol="1"/>
  <pivotFields count="34">
    <pivotField dataField="1" showAll="0"/>
    <pivotField showAll="0"/>
    <pivotField showAll="0"/>
    <pivotField showAll="0"/>
    <pivotField axis="axisRow"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loyeeName"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0BE43C-3ED5-4181-8E0E-2ABCC0D489B5}" name="PivotTable29"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1:K5" firstHeaderRow="1" firstDataRow="1" firstDataCol="1"/>
  <pivotFields count="34">
    <pivotField dataField="1"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EmployeeName"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EA3F6D-BE5C-44EE-BCC1-494C142C0B73}" name="PivotTable28"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O1:R6" firstHeaderRow="1" firstDataRow="2" firstDataCol="1"/>
  <pivotFields count="34">
    <pivotField dataField="1" showAll="0"/>
    <pivotField showAll="0"/>
    <pivotField showAll="0"/>
    <pivotField showAll="0"/>
    <pivotField axis="axisCol" showAll="0">
      <items count="3">
        <item x="0"/>
        <item x="1"/>
        <item t="default"/>
      </items>
    </pivotField>
    <pivotField showAll="0"/>
    <pivotField showAll="0"/>
    <pivotField axis="axisRow"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Fields count="1">
    <field x="4"/>
  </colFields>
  <colItems count="3">
    <i>
      <x/>
    </i>
    <i>
      <x v="1"/>
    </i>
    <i t="grand">
      <x/>
    </i>
  </colItems>
  <dataFields count="1">
    <dataField name="Count of EmployeeName" fld="0" subtotal="count" baseField="0" baseItem="0"/>
  </dataFields>
  <chartFormats count="2">
    <chartFormat chart="6" format="4" series="1">
      <pivotArea type="data" outline="0" fieldPosition="0">
        <references count="2">
          <reference field="4294967294" count="1" selected="0">
            <x v="0"/>
          </reference>
          <reference field="4" count="1" selected="0">
            <x v="0"/>
          </reference>
        </references>
      </pivotArea>
    </chartFormat>
    <chartFormat chart="6"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C3F85B-6AA9-4FFE-A9A6-E8EF02819330}" name="PivotTable27"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W1:X7" firstHeaderRow="1" firstDataRow="1" firstDataCol="1"/>
  <pivotFields count="34">
    <pivotField dataField="1" showAll="0"/>
    <pivotField showAll="0"/>
    <pivotField axis="axisRow" showAll="0">
      <items count="6">
        <item x="1"/>
        <item x="0"/>
        <item x="2"/>
        <item x="3"/>
        <item x="4"/>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EmployeeName"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7CAFF1-350E-478C-B784-1AE994BAD7C0}" name="PivotTable26"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B1:AC11" firstHeaderRow="1" firstDataRow="1" firstDataCol="1"/>
  <pivotFields count="34">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axis="axisRow" showAll="0">
      <items count="10">
        <item x="3"/>
        <item x="8"/>
        <item x="4"/>
        <item x="1"/>
        <item x="5"/>
        <item x="0"/>
        <item x="2"/>
        <item x="7"/>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Items count="1">
    <i/>
  </colItems>
  <dataFields count="1">
    <dataField name="Count of Employee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1B08DF-332B-4B04-9527-6C31C366753A}" name="PivotTable25"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G1:AH6" firstHeaderRow="1" firstDataRow="1" firstDataCol="1"/>
  <pivotFields count="34">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items count="10">
        <item x="3"/>
        <item x="8"/>
        <item x="4"/>
        <item x="1"/>
        <item x="5"/>
        <item x="0"/>
        <item x="2"/>
        <item x="7"/>
        <item x="6"/>
        <item t="default"/>
      </items>
    </pivotField>
    <pivotField axis="axisRow"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EmployeeName" fld="0" subtotal="count"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FF6FC267-8BD0-4969-B3FB-33BB5E6AD2EE}" sourceName="JobLevel">
  <pivotTables>
    <pivotTable tabId="2" name="PivotTable30"/>
    <pivotTable tabId="2" name="PivotTable25"/>
    <pivotTable tabId="2" name="PivotTable26"/>
    <pivotTable tabId="2" name="PivotTable27"/>
    <pivotTable tabId="2" name="PivotTable28"/>
    <pivotTable tabId="2" name="PivotTable29"/>
    <pivotTable tabId="2" name="PivotTable31"/>
    <pivotTable tabId="2" name="PivotTable32"/>
    <pivotTable tabId="2" name="PivotTable33"/>
  </pivotTables>
  <data>
    <tabular pivotCacheId="184731168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61B4F650-5B7F-4E8B-9D0E-9DD078836EA6}" sourceName="MaritalStatus">
  <pivotTables>
    <pivotTable tabId="2" name="PivotTable30"/>
    <pivotTable tabId="2" name="PivotTable25"/>
    <pivotTable tabId="2" name="PivotTable26"/>
    <pivotTable tabId="2" name="PivotTable27"/>
    <pivotTable tabId="2" name="PivotTable28"/>
    <pivotTable tabId="2" name="PivotTable29"/>
    <pivotTable tabId="2" name="PivotTable31"/>
    <pivotTable tabId="2" name="PivotTable32"/>
    <pivotTable tabId="2" name="PivotTable33"/>
  </pivotTables>
  <data>
    <tabular pivotCacheId="184731168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22E66B0-2125-47BE-8462-80A9A135910C}" sourceName="Department">
  <pivotTables>
    <pivotTable tabId="2" name="PivotTable30"/>
    <pivotTable tabId="2" name="PivotTable25"/>
    <pivotTable tabId="2" name="PivotTable26"/>
    <pivotTable tabId="2" name="PivotTable27"/>
    <pivotTable tabId="2" name="PivotTable28"/>
    <pivotTable tabId="2" name="PivotTable29"/>
    <pivotTable tabId="2" name="PivotTable31"/>
    <pivotTable tabId="2" name="PivotTable32"/>
    <pivotTable tabId="2" name="PivotTable33"/>
  </pivotTables>
  <data>
    <tabular pivotCacheId="184731168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B598B1-9025-48B3-90B8-A5CCF04AFCA0}" sourceName="Gender">
  <pivotTables>
    <pivotTable tabId="2" name="PivotTable30"/>
    <pivotTable tabId="2" name="PivotTable25"/>
    <pivotTable tabId="2" name="PivotTable26"/>
    <pivotTable tabId="2" name="PivotTable27"/>
    <pivotTable tabId="2" name="PivotTable28"/>
    <pivotTable tabId="2" name="PivotTable29"/>
    <pivotTable tabId="2" name="PivotTable31"/>
    <pivotTable tabId="2" name="PivotTable32"/>
    <pivotTable tabId="2" name="PivotTable33"/>
  </pivotTables>
  <data>
    <tabular pivotCacheId="184731168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Level" xr10:uid="{81AFE808-9438-4F6A-8B6C-E4F98CC0B80C}" cache="Slicer_JobLevel" caption="JobLevel" columnCount="2" style="SlicerStyleLight1 2" rowHeight="241300"/>
  <slicer name="MaritalStatus" xr10:uid="{586BE997-DE57-422F-BBD8-4493E49F6F4F}" cache="Slicer_MaritalStatus" caption="MaritalStatus" columnCount="2" style="SlicerStyleLight1 2" rowHeight="241300"/>
  <slicer name="Department" xr10:uid="{3BE381DA-1B39-467F-A4BD-42A8744018AC}" cache="Slicer_Department" caption="Department" style="SlicerStyleLight1 2" rowHeight="241300"/>
  <slicer name="Gender" xr10:uid="{DECC1434-0248-4BCC-8AFF-EDF370471598}" cache="Slicer_Gender" caption="Gender" style="SlicerStyleLight1 2" rowHeight="241300"/>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23417-2942-499C-A27B-C5C0E199856F}">
  <dimension ref="A1:AH321"/>
  <sheetViews>
    <sheetView workbookViewId="0">
      <selection activeCell="E8" sqref="E8"/>
    </sheetView>
  </sheetViews>
  <sheetFormatPr defaultRowHeight="14.5" x14ac:dyDescent="0.35"/>
  <cols>
    <col min="1" max="1" width="17.6328125" bestFit="1" customWidth="1"/>
    <col min="2" max="2" width="3.90625" bestFit="1" customWidth="1"/>
    <col min="3" max="3" width="9.6328125" bestFit="1" customWidth="1"/>
    <col min="4" max="4" width="7.7265625" bestFit="1" customWidth="1"/>
    <col min="5" max="5" width="14.1796875" bestFit="1" customWidth="1"/>
    <col min="6" max="6" width="15.90625" bestFit="1" customWidth="1"/>
    <col min="7" max="7" width="8.6328125" bestFit="1" customWidth="1"/>
    <col min="8" max="8" width="22.08984375" bestFit="1" customWidth="1"/>
    <col min="9" max="9" width="17.453125" bestFit="1" customWidth="1"/>
    <col min="10" max="10" width="9.08984375" bestFit="1" customWidth="1"/>
    <col min="11" max="11" width="15.90625" bestFit="1" customWidth="1"/>
    <col min="12" max="12" width="21.36328125" bestFit="1" customWidth="1"/>
    <col min="13" max="13" width="7" bestFit="1" customWidth="1"/>
    <col min="14" max="14" width="10.08984375" bestFit="1" customWidth="1"/>
    <col min="15" max="15" width="14.08984375" bestFit="1" customWidth="1"/>
    <col min="16" max="16" width="7.81640625" bestFit="1" customWidth="1"/>
    <col min="17" max="17" width="23" bestFit="1" customWidth="1"/>
    <col min="18" max="18" width="13.26953125" bestFit="1" customWidth="1"/>
    <col min="19" max="19" width="11.90625" bestFit="1" customWidth="1"/>
    <col min="20" max="20" width="14.08984375" bestFit="1" customWidth="1"/>
    <col min="21" max="21" width="11.54296875" bestFit="1" customWidth="1"/>
    <col min="22" max="22" width="20.90625" bestFit="1" customWidth="1"/>
    <col min="23" max="23" width="8.90625" bestFit="1" customWidth="1"/>
    <col min="24" max="24" width="15.81640625" bestFit="1" customWidth="1"/>
    <col min="25" max="25" width="16.81640625" bestFit="1" customWidth="1"/>
    <col min="26" max="26" width="20.81640625" bestFit="1" customWidth="1"/>
    <col min="27" max="27" width="15.1796875" bestFit="1" customWidth="1"/>
    <col min="28" max="28" width="16.6328125" bestFit="1" customWidth="1"/>
    <col min="29" max="29" width="19.6328125" bestFit="1" customWidth="1"/>
    <col min="30" max="30" width="14.81640625" bestFit="1" customWidth="1"/>
    <col min="31" max="31" width="15.1796875" bestFit="1" customWidth="1"/>
    <col min="32" max="32" width="17.1796875" bestFit="1" customWidth="1"/>
    <col min="33" max="33" width="22" bestFit="1" customWidth="1"/>
    <col min="34" max="34" width="20.6328125" bestFit="1"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t="s">
        <v>34</v>
      </c>
      <c r="B2">
        <v>42</v>
      </c>
      <c r="C2" t="str">
        <f>IF(B2&lt;=25,"under 25",IF(B2&lt;=34,"25-34",IF(B2&lt;=44,"35-44",IF(B2&lt;=54,"45-54","55+"))))</f>
        <v>35-44</v>
      </c>
      <c r="D2" t="s">
        <v>35</v>
      </c>
      <c r="E2" t="s">
        <v>36</v>
      </c>
      <c r="F2" t="s">
        <v>37</v>
      </c>
      <c r="G2">
        <v>847</v>
      </c>
      <c r="H2" t="s">
        <v>38</v>
      </c>
      <c r="I2">
        <v>7</v>
      </c>
      <c r="J2">
        <v>4</v>
      </c>
      <c r="K2" t="s">
        <v>39</v>
      </c>
      <c r="L2">
        <v>3</v>
      </c>
      <c r="M2" t="s">
        <v>40</v>
      </c>
      <c r="N2">
        <v>78</v>
      </c>
      <c r="O2">
        <v>3</v>
      </c>
      <c r="P2">
        <v>2</v>
      </c>
      <c r="Q2" t="s">
        <v>41</v>
      </c>
      <c r="R2">
        <v>4</v>
      </c>
      <c r="S2" t="s">
        <v>42</v>
      </c>
      <c r="T2">
        <v>8002</v>
      </c>
      <c r="U2">
        <v>10666</v>
      </c>
      <c r="V2">
        <v>1</v>
      </c>
      <c r="W2" t="s">
        <v>43</v>
      </c>
      <c r="X2">
        <v>11</v>
      </c>
      <c r="Y2">
        <v>3</v>
      </c>
      <c r="Z2">
        <v>2</v>
      </c>
      <c r="AA2">
        <v>1</v>
      </c>
      <c r="AB2">
        <v>23</v>
      </c>
      <c r="AC2">
        <v>1</v>
      </c>
      <c r="AD2">
        <v>3</v>
      </c>
      <c r="AE2">
        <v>7</v>
      </c>
      <c r="AF2">
        <v>0</v>
      </c>
      <c r="AG2">
        <v>7</v>
      </c>
      <c r="AH2">
        <v>5</v>
      </c>
    </row>
    <row r="3" spans="1:34" x14ac:dyDescent="0.35">
      <c r="A3" t="s">
        <v>44</v>
      </c>
      <c r="B3">
        <v>31</v>
      </c>
      <c r="C3" t="str">
        <f t="shared" ref="C3:C66" si="0">IF(B3&lt;=25,"under 25",IF(B3&lt;=34,"25-34",IF(B3&lt;=44,"35-44",IF(B3&lt;=54,"45-54","55+"))))</f>
        <v>25-34</v>
      </c>
      <c r="D3" t="s">
        <v>43</v>
      </c>
      <c r="E3" t="s">
        <v>45</v>
      </c>
      <c r="F3" t="s">
        <v>37</v>
      </c>
      <c r="G3">
        <v>915</v>
      </c>
      <c r="H3" t="s">
        <v>46</v>
      </c>
      <c r="I3">
        <v>5</v>
      </c>
      <c r="J3">
        <v>2</v>
      </c>
      <c r="K3" t="s">
        <v>47</v>
      </c>
      <c r="L3">
        <v>3</v>
      </c>
      <c r="M3" t="s">
        <v>40</v>
      </c>
      <c r="N3">
        <v>44</v>
      </c>
      <c r="O3">
        <v>2</v>
      </c>
      <c r="P3">
        <v>2</v>
      </c>
      <c r="Q3" t="s">
        <v>48</v>
      </c>
      <c r="R3">
        <v>2</v>
      </c>
      <c r="S3" t="s">
        <v>49</v>
      </c>
      <c r="T3">
        <v>6746</v>
      </c>
      <c r="U3">
        <v>9629</v>
      </c>
      <c r="V3">
        <v>3</v>
      </c>
      <c r="W3" t="s">
        <v>35</v>
      </c>
      <c r="X3">
        <v>18</v>
      </c>
      <c r="Y3">
        <v>3</v>
      </c>
      <c r="Z3">
        <v>4</v>
      </c>
      <c r="AA3">
        <v>0</v>
      </c>
      <c r="AB3">
        <v>10</v>
      </c>
      <c r="AC3">
        <v>0</v>
      </c>
      <c r="AD3">
        <v>3</v>
      </c>
      <c r="AE3">
        <v>0</v>
      </c>
      <c r="AF3">
        <v>0</v>
      </c>
      <c r="AG3">
        <v>0</v>
      </c>
      <c r="AH3">
        <v>0</v>
      </c>
    </row>
    <row r="4" spans="1:34" x14ac:dyDescent="0.35">
      <c r="A4" t="s">
        <v>50</v>
      </c>
      <c r="B4">
        <v>42</v>
      </c>
      <c r="C4" t="str">
        <f t="shared" si="0"/>
        <v>35-44</v>
      </c>
      <c r="D4" t="s">
        <v>35</v>
      </c>
      <c r="E4" t="s">
        <v>36</v>
      </c>
      <c r="F4" t="s">
        <v>37</v>
      </c>
      <c r="G4">
        <v>742</v>
      </c>
      <c r="H4" t="s">
        <v>38</v>
      </c>
      <c r="I4">
        <v>1</v>
      </c>
      <c r="J4">
        <v>3</v>
      </c>
      <c r="K4" t="s">
        <v>47</v>
      </c>
      <c r="L4">
        <v>1</v>
      </c>
      <c r="M4" t="s">
        <v>51</v>
      </c>
      <c r="N4">
        <v>30</v>
      </c>
      <c r="O4">
        <v>3</v>
      </c>
      <c r="P4">
        <v>4</v>
      </c>
      <c r="Q4" t="s">
        <v>52</v>
      </c>
      <c r="R4">
        <v>3</v>
      </c>
      <c r="S4" t="s">
        <v>49</v>
      </c>
      <c r="T4">
        <v>10260</v>
      </c>
      <c r="U4">
        <v>19412</v>
      </c>
      <c r="V4">
        <v>3</v>
      </c>
      <c r="W4" t="s">
        <v>43</v>
      </c>
      <c r="X4">
        <v>14</v>
      </c>
      <c r="Y4">
        <v>3</v>
      </c>
      <c r="Z4">
        <v>2</v>
      </c>
      <c r="AA4">
        <v>1</v>
      </c>
      <c r="AB4">
        <v>21</v>
      </c>
      <c r="AC4">
        <v>4</v>
      </c>
      <c r="AD4">
        <v>3</v>
      </c>
      <c r="AE4">
        <v>11</v>
      </c>
      <c r="AF4">
        <v>2</v>
      </c>
      <c r="AG4">
        <v>0</v>
      </c>
      <c r="AH4">
        <v>0</v>
      </c>
    </row>
    <row r="5" spans="1:34" x14ac:dyDescent="0.35">
      <c r="A5" t="s">
        <v>53</v>
      </c>
      <c r="B5">
        <v>35</v>
      </c>
      <c r="C5" t="str">
        <f t="shared" si="0"/>
        <v>35-44</v>
      </c>
      <c r="D5" t="s">
        <v>35</v>
      </c>
      <c r="E5" t="s">
        <v>36</v>
      </c>
      <c r="F5" t="s">
        <v>54</v>
      </c>
      <c r="G5">
        <v>1382</v>
      </c>
      <c r="H5" t="s">
        <v>38</v>
      </c>
      <c r="I5">
        <v>16</v>
      </c>
      <c r="J5">
        <v>3</v>
      </c>
      <c r="K5" t="s">
        <v>47</v>
      </c>
      <c r="L5">
        <v>2</v>
      </c>
      <c r="M5" t="s">
        <v>40</v>
      </c>
      <c r="N5">
        <v>99</v>
      </c>
      <c r="O5">
        <v>2</v>
      </c>
      <c r="P5">
        <v>2</v>
      </c>
      <c r="Q5" t="s">
        <v>55</v>
      </c>
      <c r="R5">
        <v>3</v>
      </c>
      <c r="S5" t="s">
        <v>56</v>
      </c>
      <c r="T5">
        <v>7886</v>
      </c>
      <c r="U5">
        <v>23959</v>
      </c>
      <c r="V5">
        <v>3</v>
      </c>
      <c r="W5" t="s">
        <v>43</v>
      </c>
      <c r="X5">
        <v>13</v>
      </c>
      <c r="Y5">
        <v>3</v>
      </c>
      <c r="Z5">
        <v>3</v>
      </c>
      <c r="AA5">
        <v>1</v>
      </c>
      <c r="AB5">
        <v>12</v>
      </c>
      <c r="AC5">
        <v>3</v>
      </c>
      <c r="AD5">
        <v>2</v>
      </c>
      <c r="AE5">
        <v>9</v>
      </c>
      <c r="AF5">
        <v>0</v>
      </c>
      <c r="AG5">
        <v>4</v>
      </c>
      <c r="AH5">
        <v>2</v>
      </c>
    </row>
    <row r="6" spans="1:34" x14ac:dyDescent="0.35">
      <c r="A6" t="s">
        <v>57</v>
      </c>
      <c r="B6">
        <v>36</v>
      </c>
      <c r="C6" t="str">
        <f t="shared" si="0"/>
        <v>35-44</v>
      </c>
      <c r="D6" t="s">
        <v>35</v>
      </c>
      <c r="E6" t="s">
        <v>36</v>
      </c>
      <c r="F6" t="s">
        <v>37</v>
      </c>
      <c r="G6">
        <v>243</v>
      </c>
      <c r="H6" t="s">
        <v>38</v>
      </c>
      <c r="I6">
        <v>6</v>
      </c>
      <c r="J6">
        <v>3</v>
      </c>
      <c r="K6" t="s">
        <v>47</v>
      </c>
      <c r="L6">
        <v>2</v>
      </c>
      <c r="M6" t="s">
        <v>40</v>
      </c>
      <c r="N6">
        <v>88</v>
      </c>
      <c r="O6">
        <v>3</v>
      </c>
      <c r="P6">
        <v>2</v>
      </c>
      <c r="Q6" t="s">
        <v>41</v>
      </c>
      <c r="R6">
        <v>1</v>
      </c>
      <c r="S6" t="s">
        <v>49</v>
      </c>
      <c r="T6">
        <v>8026</v>
      </c>
      <c r="U6">
        <v>13589</v>
      </c>
      <c r="V6">
        <v>3</v>
      </c>
      <c r="W6" t="s">
        <v>35</v>
      </c>
      <c r="X6">
        <v>13</v>
      </c>
      <c r="Y6">
        <v>3</v>
      </c>
      <c r="Z6">
        <v>4</v>
      </c>
      <c r="AA6">
        <v>1</v>
      </c>
      <c r="AB6">
        <v>14</v>
      </c>
      <c r="AC6">
        <v>3</v>
      </c>
      <c r="AD6">
        <v>3</v>
      </c>
      <c r="AE6">
        <v>3</v>
      </c>
      <c r="AF6">
        <v>2</v>
      </c>
      <c r="AG6">
        <v>1</v>
      </c>
      <c r="AH6">
        <v>0</v>
      </c>
    </row>
    <row r="7" spans="1:34" x14ac:dyDescent="0.35">
      <c r="A7" t="s">
        <v>58</v>
      </c>
      <c r="B7">
        <v>53</v>
      </c>
      <c r="C7" t="str">
        <f t="shared" si="0"/>
        <v>45-54</v>
      </c>
      <c r="D7" t="s">
        <v>35</v>
      </c>
      <c r="E7" t="s">
        <v>36</v>
      </c>
      <c r="F7" t="s">
        <v>59</v>
      </c>
      <c r="G7">
        <v>153</v>
      </c>
      <c r="H7" t="s">
        <v>38</v>
      </c>
      <c r="I7">
        <v>2</v>
      </c>
      <c r="J7">
        <v>3</v>
      </c>
      <c r="K7" t="s">
        <v>39</v>
      </c>
      <c r="L7">
        <v>3</v>
      </c>
      <c r="M7" t="s">
        <v>40</v>
      </c>
      <c r="N7">
        <v>62</v>
      </c>
      <c r="O7">
        <v>1</v>
      </c>
      <c r="P7">
        <v>5</v>
      </c>
      <c r="Q7" t="s">
        <v>60</v>
      </c>
      <c r="R7">
        <v>3</v>
      </c>
      <c r="S7" t="s">
        <v>42</v>
      </c>
      <c r="T7">
        <v>14042</v>
      </c>
      <c r="U7">
        <v>14183</v>
      </c>
      <c r="V7">
        <v>1</v>
      </c>
      <c r="W7" t="s">
        <v>35</v>
      </c>
      <c r="X7">
        <v>15</v>
      </c>
      <c r="Y7">
        <v>3</v>
      </c>
      <c r="Z7">
        <v>4</v>
      </c>
      <c r="AA7">
        <v>2</v>
      </c>
      <c r="AB7">
        <v>31</v>
      </c>
      <c r="AC7">
        <v>6</v>
      </c>
      <c r="AD7">
        <v>2</v>
      </c>
      <c r="AE7">
        <v>31</v>
      </c>
      <c r="AF7">
        <v>10</v>
      </c>
      <c r="AG7">
        <v>1</v>
      </c>
      <c r="AH7">
        <v>6</v>
      </c>
    </row>
    <row r="8" spans="1:34" x14ac:dyDescent="0.35">
      <c r="A8" t="s">
        <v>61</v>
      </c>
      <c r="B8">
        <v>40</v>
      </c>
      <c r="C8" t="str">
        <f t="shared" si="0"/>
        <v>35-44</v>
      </c>
      <c r="D8" t="s">
        <v>35</v>
      </c>
      <c r="E8" t="s">
        <v>36</v>
      </c>
      <c r="F8" t="s">
        <v>37</v>
      </c>
      <c r="G8">
        <v>1169</v>
      </c>
      <c r="H8" t="s">
        <v>38</v>
      </c>
      <c r="I8">
        <v>29</v>
      </c>
      <c r="J8">
        <v>3</v>
      </c>
      <c r="K8" t="s">
        <v>47</v>
      </c>
      <c r="L8">
        <v>2</v>
      </c>
      <c r="M8" t="s">
        <v>40</v>
      </c>
      <c r="N8">
        <v>35</v>
      </c>
      <c r="O8">
        <v>3</v>
      </c>
      <c r="P8">
        <v>1</v>
      </c>
      <c r="Q8" t="s">
        <v>62</v>
      </c>
      <c r="R8">
        <v>2</v>
      </c>
      <c r="S8" t="s">
        <v>49</v>
      </c>
      <c r="T8">
        <v>5119</v>
      </c>
      <c r="U8">
        <v>16434</v>
      </c>
      <c r="V8">
        <v>4</v>
      </c>
      <c r="W8" t="s">
        <v>35</v>
      </c>
      <c r="X8">
        <v>15</v>
      </c>
      <c r="Y8">
        <v>3</v>
      </c>
      <c r="Z8">
        <v>3</v>
      </c>
      <c r="AA8">
        <v>1</v>
      </c>
      <c r="AB8">
        <v>14</v>
      </c>
      <c r="AC8">
        <v>5</v>
      </c>
      <c r="AD8">
        <v>3</v>
      </c>
      <c r="AE8">
        <v>4</v>
      </c>
      <c r="AF8">
        <v>4</v>
      </c>
      <c r="AG8">
        <v>1</v>
      </c>
      <c r="AH8">
        <v>1</v>
      </c>
    </row>
    <row r="9" spans="1:34" x14ac:dyDescent="0.35">
      <c r="A9" t="s">
        <v>63</v>
      </c>
      <c r="B9">
        <v>26</v>
      </c>
      <c r="C9" t="str">
        <f t="shared" si="0"/>
        <v>25-34</v>
      </c>
      <c r="D9" t="s">
        <v>43</v>
      </c>
      <c r="E9" t="s">
        <v>45</v>
      </c>
      <c r="F9" t="s">
        <v>37</v>
      </c>
      <c r="G9">
        <v>611</v>
      </c>
      <c r="H9" t="s">
        <v>46</v>
      </c>
      <c r="I9">
        <v>1</v>
      </c>
      <c r="J9">
        <v>4</v>
      </c>
      <c r="K9" t="s">
        <v>64</v>
      </c>
      <c r="L9">
        <v>1</v>
      </c>
      <c r="M9" t="s">
        <v>40</v>
      </c>
      <c r="N9">
        <v>45</v>
      </c>
      <c r="O9">
        <v>3</v>
      </c>
      <c r="P9">
        <v>2</v>
      </c>
      <c r="Q9" t="s">
        <v>65</v>
      </c>
      <c r="R9">
        <v>3</v>
      </c>
      <c r="S9" t="s">
        <v>42</v>
      </c>
      <c r="T9">
        <v>5105</v>
      </c>
      <c r="U9">
        <v>12893</v>
      </c>
      <c r="V9">
        <v>2</v>
      </c>
      <c r="W9" t="s">
        <v>43</v>
      </c>
      <c r="X9">
        <v>16</v>
      </c>
      <c r="Y9">
        <v>3</v>
      </c>
      <c r="Z9">
        <v>3</v>
      </c>
      <c r="AA9">
        <v>2</v>
      </c>
      <c r="AB9">
        <v>6</v>
      </c>
      <c r="AC9">
        <v>2</v>
      </c>
      <c r="AD9">
        <v>2</v>
      </c>
      <c r="AE9">
        <v>6</v>
      </c>
      <c r="AF9">
        <v>2</v>
      </c>
      <c r="AG9">
        <v>0</v>
      </c>
      <c r="AH9">
        <v>1</v>
      </c>
    </row>
    <row r="10" spans="1:34" x14ac:dyDescent="0.35">
      <c r="A10" t="s">
        <v>66</v>
      </c>
      <c r="B10">
        <v>37</v>
      </c>
      <c r="C10" t="str">
        <f t="shared" si="0"/>
        <v>35-44</v>
      </c>
      <c r="D10" t="s">
        <v>43</v>
      </c>
      <c r="E10" t="s">
        <v>45</v>
      </c>
      <c r="F10" t="s">
        <v>37</v>
      </c>
      <c r="G10">
        <v>1181</v>
      </c>
      <c r="H10" t="s">
        <v>38</v>
      </c>
      <c r="I10">
        <v>1</v>
      </c>
      <c r="J10">
        <v>1</v>
      </c>
      <c r="K10" t="s">
        <v>39</v>
      </c>
      <c r="L10">
        <v>3</v>
      </c>
      <c r="M10" t="s">
        <v>51</v>
      </c>
      <c r="N10">
        <v>30</v>
      </c>
      <c r="O10">
        <v>1</v>
      </c>
      <c r="P10">
        <v>1</v>
      </c>
      <c r="Q10" t="s">
        <v>48</v>
      </c>
      <c r="R10">
        <v>2</v>
      </c>
      <c r="S10" t="s">
        <v>42</v>
      </c>
      <c r="T10">
        <v>4245</v>
      </c>
      <c r="U10">
        <v>15407</v>
      </c>
      <c r="V10">
        <v>4</v>
      </c>
      <c r="W10" t="s">
        <v>43</v>
      </c>
      <c r="X10">
        <v>20</v>
      </c>
      <c r="Y10">
        <v>3</v>
      </c>
      <c r="Z10">
        <v>2</v>
      </c>
      <c r="AA10">
        <v>1</v>
      </c>
      <c r="AB10">
        <v>12</v>
      </c>
      <c r="AC10">
        <v>5</v>
      </c>
      <c r="AD10">
        <v>3</v>
      </c>
      <c r="AE10">
        <v>4</v>
      </c>
      <c r="AF10">
        <v>2</v>
      </c>
      <c r="AG10">
        <v>2</v>
      </c>
      <c r="AH10">
        <v>3</v>
      </c>
    </row>
    <row r="11" spans="1:34" x14ac:dyDescent="0.35">
      <c r="A11" t="s">
        <v>67</v>
      </c>
      <c r="B11">
        <v>34</v>
      </c>
      <c r="C11" t="str">
        <f t="shared" si="0"/>
        <v>25-34</v>
      </c>
      <c r="D11" t="s">
        <v>43</v>
      </c>
      <c r="E11" t="s">
        <v>45</v>
      </c>
      <c r="F11" t="s">
        <v>37</v>
      </c>
      <c r="G11">
        <v>596</v>
      </c>
      <c r="H11" t="s">
        <v>46</v>
      </c>
      <c r="I11">
        <v>4</v>
      </c>
      <c r="J11">
        <v>2</v>
      </c>
      <c r="K11" t="s">
        <v>47</v>
      </c>
      <c r="L11">
        <v>4</v>
      </c>
      <c r="M11" t="s">
        <v>40</v>
      </c>
      <c r="N11">
        <v>61</v>
      </c>
      <c r="O11">
        <v>2</v>
      </c>
      <c r="P11">
        <v>1</v>
      </c>
      <c r="Q11" t="s">
        <v>65</v>
      </c>
      <c r="R11">
        <v>4</v>
      </c>
      <c r="S11" t="s">
        <v>49</v>
      </c>
      <c r="T11">
        <v>5404</v>
      </c>
      <c r="U11">
        <v>2851</v>
      </c>
      <c r="V11">
        <v>4</v>
      </c>
      <c r="W11" t="s">
        <v>43</v>
      </c>
      <c r="X11">
        <v>12</v>
      </c>
      <c r="Y11">
        <v>3</v>
      </c>
      <c r="Z11">
        <v>2</v>
      </c>
      <c r="AA11">
        <v>1</v>
      </c>
      <c r="AB11">
        <v>15</v>
      </c>
      <c r="AC11">
        <v>4</v>
      </c>
      <c r="AD11">
        <v>2</v>
      </c>
      <c r="AE11">
        <v>3</v>
      </c>
      <c r="AF11">
        <v>2</v>
      </c>
      <c r="AG11">
        <v>2</v>
      </c>
      <c r="AH11">
        <v>0</v>
      </c>
    </row>
    <row r="12" spans="1:34" x14ac:dyDescent="0.35">
      <c r="A12" t="s">
        <v>68</v>
      </c>
      <c r="B12">
        <v>44</v>
      </c>
      <c r="C12" t="str">
        <f t="shared" si="0"/>
        <v>35-44</v>
      </c>
      <c r="D12" t="s">
        <v>35</v>
      </c>
      <c r="E12" t="s">
        <v>36</v>
      </c>
      <c r="F12" t="s">
        <v>37</v>
      </c>
      <c r="G12">
        <v>195</v>
      </c>
      <c r="H12" t="s">
        <v>38</v>
      </c>
      <c r="I12">
        <v>9</v>
      </c>
      <c r="J12">
        <v>2</v>
      </c>
      <c r="K12" t="s">
        <v>69</v>
      </c>
      <c r="L12">
        <v>3</v>
      </c>
      <c r="M12" t="s">
        <v>40</v>
      </c>
      <c r="N12">
        <v>53</v>
      </c>
      <c r="O12">
        <v>3</v>
      </c>
      <c r="P12">
        <v>2</v>
      </c>
      <c r="Q12" t="s">
        <v>52</v>
      </c>
      <c r="R12">
        <v>4</v>
      </c>
      <c r="S12" t="s">
        <v>56</v>
      </c>
      <c r="T12">
        <v>5986</v>
      </c>
      <c r="U12">
        <v>25190</v>
      </c>
      <c r="V12">
        <v>1</v>
      </c>
      <c r="W12" t="s">
        <v>43</v>
      </c>
      <c r="X12">
        <v>11</v>
      </c>
      <c r="Y12">
        <v>4</v>
      </c>
      <c r="Z12">
        <v>2</v>
      </c>
      <c r="AA12">
        <v>2</v>
      </c>
      <c r="AB12">
        <v>21</v>
      </c>
      <c r="AC12">
        <v>4</v>
      </c>
      <c r="AD12">
        <v>3</v>
      </c>
      <c r="AE12">
        <v>5</v>
      </c>
      <c r="AF12">
        <v>5</v>
      </c>
      <c r="AG12">
        <v>2</v>
      </c>
      <c r="AH12">
        <v>4</v>
      </c>
    </row>
    <row r="13" spans="1:34" x14ac:dyDescent="0.35">
      <c r="A13" t="s">
        <v>70</v>
      </c>
      <c r="B13">
        <v>54</v>
      </c>
      <c r="C13" t="str">
        <f t="shared" si="0"/>
        <v>45-54</v>
      </c>
      <c r="D13" t="s">
        <v>35</v>
      </c>
      <c r="E13" t="s">
        <v>36</v>
      </c>
      <c r="F13" t="s">
        <v>37</v>
      </c>
      <c r="G13">
        <v>334</v>
      </c>
      <c r="H13" t="s">
        <v>46</v>
      </c>
      <c r="I13">
        <v>11</v>
      </c>
      <c r="J13">
        <v>3</v>
      </c>
      <c r="K13" t="s">
        <v>64</v>
      </c>
      <c r="L13">
        <v>4</v>
      </c>
      <c r="M13" t="s">
        <v>40</v>
      </c>
      <c r="N13">
        <v>47</v>
      </c>
      <c r="O13">
        <v>1</v>
      </c>
      <c r="P13">
        <v>2</v>
      </c>
      <c r="Q13" t="s">
        <v>48</v>
      </c>
      <c r="R13">
        <v>1</v>
      </c>
      <c r="S13" t="s">
        <v>42</v>
      </c>
      <c r="T13">
        <v>9707</v>
      </c>
      <c r="U13">
        <v>6846</v>
      </c>
      <c r="V13">
        <v>0</v>
      </c>
      <c r="W13" t="s">
        <v>43</v>
      </c>
      <c r="X13">
        <v>14</v>
      </c>
      <c r="Y13">
        <v>3</v>
      </c>
      <c r="Z13">
        <v>4</v>
      </c>
      <c r="AA13">
        <v>0</v>
      </c>
      <c r="AB13">
        <v>34</v>
      </c>
      <c r="AC13">
        <v>2</v>
      </c>
      <c r="AD13">
        <v>3</v>
      </c>
      <c r="AE13">
        <v>9</v>
      </c>
      <c r="AF13">
        <v>4</v>
      </c>
      <c r="AG13">
        <v>0</v>
      </c>
      <c r="AH13">
        <v>2</v>
      </c>
    </row>
    <row r="14" spans="1:34" x14ac:dyDescent="0.35">
      <c r="A14" t="s">
        <v>71</v>
      </c>
      <c r="B14">
        <v>30</v>
      </c>
      <c r="C14" t="str">
        <f t="shared" si="0"/>
        <v>25-34</v>
      </c>
      <c r="D14" t="s">
        <v>35</v>
      </c>
      <c r="E14" t="s">
        <v>36</v>
      </c>
      <c r="F14" t="s">
        <v>37</v>
      </c>
      <c r="G14">
        <v>289</v>
      </c>
      <c r="H14" t="s">
        <v>38</v>
      </c>
      <c r="I14">
        <v>1</v>
      </c>
      <c r="J14">
        <v>4</v>
      </c>
      <c r="K14" t="s">
        <v>69</v>
      </c>
      <c r="L14">
        <v>1</v>
      </c>
      <c r="M14" t="s">
        <v>51</v>
      </c>
      <c r="N14">
        <v>92</v>
      </c>
      <c r="O14">
        <v>1</v>
      </c>
      <c r="P14">
        <v>1</v>
      </c>
      <c r="Q14" t="s">
        <v>52</v>
      </c>
      <c r="R14">
        <v>4</v>
      </c>
      <c r="S14" t="s">
        <v>49</v>
      </c>
      <c r="T14">
        <v>4932</v>
      </c>
      <c r="U14">
        <v>3531</v>
      </c>
      <c r="V14">
        <v>1</v>
      </c>
      <c r="W14" t="s">
        <v>35</v>
      </c>
      <c r="X14">
        <v>20</v>
      </c>
      <c r="Y14">
        <v>4</v>
      </c>
      <c r="Z14">
        <v>3</v>
      </c>
      <c r="AA14">
        <v>0</v>
      </c>
      <c r="AB14">
        <v>7</v>
      </c>
      <c r="AC14">
        <v>3</v>
      </c>
      <c r="AD14">
        <v>4</v>
      </c>
      <c r="AE14">
        <v>4</v>
      </c>
      <c r="AF14">
        <v>0</v>
      </c>
      <c r="AG14">
        <v>1</v>
      </c>
      <c r="AH14">
        <v>0</v>
      </c>
    </row>
    <row r="15" spans="1:34" x14ac:dyDescent="0.35">
      <c r="A15" t="s">
        <v>72</v>
      </c>
      <c r="B15">
        <v>33</v>
      </c>
      <c r="C15" t="str">
        <f t="shared" si="0"/>
        <v>25-34</v>
      </c>
      <c r="D15" t="s">
        <v>35</v>
      </c>
      <c r="E15" t="s">
        <v>36</v>
      </c>
      <c r="F15" t="s">
        <v>59</v>
      </c>
      <c r="G15">
        <v>831</v>
      </c>
      <c r="H15" t="s">
        <v>38</v>
      </c>
      <c r="I15">
        <v>2</v>
      </c>
      <c r="J15">
        <v>1</v>
      </c>
      <c r="K15" t="s">
        <v>47</v>
      </c>
      <c r="L15">
        <v>4</v>
      </c>
      <c r="M15" t="s">
        <v>51</v>
      </c>
      <c r="N15">
        <v>70</v>
      </c>
      <c r="O15">
        <v>3</v>
      </c>
      <c r="P15">
        <v>3</v>
      </c>
      <c r="Q15" t="s">
        <v>52</v>
      </c>
      <c r="R15">
        <v>4</v>
      </c>
      <c r="S15" t="s">
        <v>49</v>
      </c>
      <c r="T15">
        <v>9659</v>
      </c>
      <c r="U15">
        <v>6835</v>
      </c>
      <c r="V15">
        <v>1</v>
      </c>
      <c r="W15" t="s">
        <v>35</v>
      </c>
      <c r="X15">
        <v>11</v>
      </c>
      <c r="Y15">
        <v>4</v>
      </c>
      <c r="Z15">
        <v>4</v>
      </c>
      <c r="AA15">
        <v>3</v>
      </c>
      <c r="AB15">
        <v>14</v>
      </c>
      <c r="AC15">
        <v>5</v>
      </c>
      <c r="AD15">
        <v>3</v>
      </c>
      <c r="AE15">
        <v>14</v>
      </c>
      <c r="AF15">
        <v>6</v>
      </c>
      <c r="AG15">
        <v>1</v>
      </c>
      <c r="AH15">
        <v>2</v>
      </c>
    </row>
    <row r="16" spans="1:34" x14ac:dyDescent="0.35">
      <c r="A16" t="s">
        <v>73</v>
      </c>
      <c r="B16">
        <v>47</v>
      </c>
      <c r="C16" t="str">
        <f t="shared" si="0"/>
        <v>45-54</v>
      </c>
      <c r="D16" t="s">
        <v>43</v>
      </c>
      <c r="E16" t="s">
        <v>45</v>
      </c>
      <c r="F16" t="s">
        <v>37</v>
      </c>
      <c r="G16">
        <v>1096</v>
      </c>
      <c r="H16" t="s">
        <v>46</v>
      </c>
      <c r="I16">
        <v>28</v>
      </c>
      <c r="J16">
        <v>3</v>
      </c>
      <c r="K16" t="s">
        <v>64</v>
      </c>
      <c r="L16">
        <v>2</v>
      </c>
      <c r="M16" t="s">
        <v>51</v>
      </c>
      <c r="N16">
        <v>82</v>
      </c>
      <c r="O16">
        <v>1</v>
      </c>
      <c r="P16">
        <v>4</v>
      </c>
      <c r="Q16" t="s">
        <v>48</v>
      </c>
      <c r="R16">
        <v>2</v>
      </c>
      <c r="S16" t="s">
        <v>42</v>
      </c>
      <c r="T16">
        <v>11484</v>
      </c>
      <c r="U16">
        <v>12916</v>
      </c>
      <c r="V16">
        <v>1</v>
      </c>
      <c r="W16" t="s">
        <v>43</v>
      </c>
      <c r="X16">
        <v>15</v>
      </c>
      <c r="Y16">
        <v>3</v>
      </c>
      <c r="Z16">
        <v>4</v>
      </c>
      <c r="AA16">
        <v>1</v>
      </c>
      <c r="AB16">
        <v>24</v>
      </c>
      <c r="AC16">
        <v>2</v>
      </c>
      <c r="AD16">
        <v>3</v>
      </c>
      <c r="AE16">
        <v>11</v>
      </c>
      <c r="AF16">
        <v>5</v>
      </c>
      <c r="AG16">
        <v>1</v>
      </c>
      <c r="AH16">
        <v>1</v>
      </c>
    </row>
    <row r="17" spans="1:34" x14ac:dyDescent="0.35">
      <c r="A17" t="s">
        <v>74</v>
      </c>
      <c r="B17">
        <v>32</v>
      </c>
      <c r="C17" t="str">
        <f t="shared" si="0"/>
        <v>25-34</v>
      </c>
      <c r="D17" t="s">
        <v>35</v>
      </c>
      <c r="E17" t="s">
        <v>36</v>
      </c>
      <c r="F17" t="s">
        <v>37</v>
      </c>
      <c r="G17">
        <v>1458</v>
      </c>
      <c r="H17" t="s">
        <v>38</v>
      </c>
      <c r="I17">
        <v>7</v>
      </c>
      <c r="J17">
        <v>4</v>
      </c>
      <c r="K17" t="s">
        <v>69</v>
      </c>
      <c r="L17">
        <v>3</v>
      </c>
      <c r="M17" t="s">
        <v>51</v>
      </c>
      <c r="N17">
        <v>59</v>
      </c>
      <c r="O17">
        <v>2</v>
      </c>
      <c r="P17">
        <v>1</v>
      </c>
      <c r="Q17" t="s">
        <v>48</v>
      </c>
      <c r="R17">
        <v>2</v>
      </c>
      <c r="S17" t="s">
        <v>56</v>
      </c>
      <c r="T17">
        <v>3018</v>
      </c>
      <c r="U17">
        <v>6854</v>
      </c>
      <c r="V17">
        <v>7</v>
      </c>
      <c r="W17" t="s">
        <v>35</v>
      </c>
      <c r="X17">
        <v>21</v>
      </c>
      <c r="Y17">
        <v>3</v>
      </c>
      <c r="Z17">
        <v>2</v>
      </c>
      <c r="AA17">
        <v>1</v>
      </c>
      <c r="AB17">
        <v>11</v>
      </c>
      <c r="AC17">
        <v>5</v>
      </c>
      <c r="AD17">
        <v>3</v>
      </c>
      <c r="AE17">
        <v>3</v>
      </c>
      <c r="AF17">
        <v>1</v>
      </c>
      <c r="AG17">
        <v>3</v>
      </c>
      <c r="AH17">
        <v>3</v>
      </c>
    </row>
    <row r="18" spans="1:34" x14ac:dyDescent="0.35">
      <c r="A18" t="s">
        <v>75</v>
      </c>
      <c r="B18">
        <v>28</v>
      </c>
      <c r="C18" t="str">
        <f t="shared" si="0"/>
        <v>25-34</v>
      </c>
      <c r="D18" t="s">
        <v>35</v>
      </c>
      <c r="E18" t="s">
        <v>36</v>
      </c>
      <c r="F18" t="s">
        <v>54</v>
      </c>
      <c r="G18">
        <v>1169</v>
      </c>
      <c r="H18" t="s">
        <v>38</v>
      </c>
      <c r="I18">
        <v>28</v>
      </c>
      <c r="J18">
        <v>3</v>
      </c>
      <c r="K18" t="s">
        <v>69</v>
      </c>
      <c r="L18">
        <v>3</v>
      </c>
      <c r="M18" t="s">
        <v>51</v>
      </c>
      <c r="N18">
        <v>63</v>
      </c>
      <c r="O18">
        <v>1</v>
      </c>
      <c r="P18">
        <v>2</v>
      </c>
      <c r="Q18" t="s">
        <v>62</v>
      </c>
      <c r="R18">
        <v>1</v>
      </c>
      <c r="S18" t="s">
        <v>49</v>
      </c>
      <c r="T18">
        <v>4333</v>
      </c>
      <c r="U18">
        <v>12160</v>
      </c>
      <c r="V18">
        <v>1</v>
      </c>
      <c r="W18" t="s">
        <v>43</v>
      </c>
      <c r="X18">
        <v>16</v>
      </c>
      <c r="Y18">
        <v>3</v>
      </c>
      <c r="Z18">
        <v>4</v>
      </c>
      <c r="AA18">
        <v>1</v>
      </c>
      <c r="AB18">
        <v>7</v>
      </c>
      <c r="AC18">
        <v>1</v>
      </c>
      <c r="AD18">
        <v>4</v>
      </c>
      <c r="AE18">
        <v>5</v>
      </c>
      <c r="AF18">
        <v>0</v>
      </c>
      <c r="AG18">
        <v>3</v>
      </c>
      <c r="AH18">
        <v>1</v>
      </c>
    </row>
    <row r="19" spans="1:34" x14ac:dyDescent="0.35">
      <c r="A19" t="s">
        <v>76</v>
      </c>
      <c r="B19">
        <v>32</v>
      </c>
      <c r="C19" t="str">
        <f t="shared" si="0"/>
        <v>25-34</v>
      </c>
      <c r="D19" t="s">
        <v>35</v>
      </c>
      <c r="E19" t="s">
        <v>36</v>
      </c>
      <c r="F19" t="s">
        <v>37</v>
      </c>
      <c r="G19">
        <v>584</v>
      </c>
      <c r="H19" t="s">
        <v>38</v>
      </c>
      <c r="I19">
        <v>11</v>
      </c>
      <c r="J19">
        <v>3</v>
      </c>
      <c r="K19" t="s">
        <v>64</v>
      </c>
      <c r="L19">
        <v>3</v>
      </c>
      <c r="M19" t="s">
        <v>40</v>
      </c>
      <c r="N19">
        <v>57</v>
      </c>
      <c r="O19">
        <v>1</v>
      </c>
      <c r="P19">
        <v>1</v>
      </c>
      <c r="Q19" t="s">
        <v>41</v>
      </c>
      <c r="R19">
        <v>3</v>
      </c>
      <c r="S19" t="s">
        <v>49</v>
      </c>
      <c r="T19">
        <v>3019</v>
      </c>
      <c r="U19">
        <v>3062</v>
      </c>
      <c r="V19">
        <v>2</v>
      </c>
      <c r="W19" t="s">
        <v>35</v>
      </c>
      <c r="X19">
        <v>15</v>
      </c>
      <c r="Y19">
        <v>4</v>
      </c>
      <c r="Z19">
        <v>4</v>
      </c>
      <c r="AA19">
        <v>0</v>
      </c>
      <c r="AB19">
        <v>7</v>
      </c>
      <c r="AC19">
        <v>2</v>
      </c>
      <c r="AD19">
        <v>3</v>
      </c>
      <c r="AE19">
        <v>0</v>
      </c>
      <c r="AF19">
        <v>0</v>
      </c>
      <c r="AG19">
        <v>0</v>
      </c>
      <c r="AH19">
        <v>0</v>
      </c>
    </row>
    <row r="20" spans="1:34" x14ac:dyDescent="0.35">
      <c r="A20" t="s">
        <v>77</v>
      </c>
      <c r="B20">
        <v>33</v>
      </c>
      <c r="C20" t="str">
        <f t="shared" si="0"/>
        <v>25-34</v>
      </c>
      <c r="D20" t="s">
        <v>35</v>
      </c>
      <c r="E20" t="s">
        <v>36</v>
      </c>
      <c r="F20" t="s">
        <v>37</v>
      </c>
      <c r="G20">
        <v>922</v>
      </c>
      <c r="H20" t="s">
        <v>38</v>
      </c>
      <c r="I20">
        <v>29</v>
      </c>
      <c r="J20">
        <v>3</v>
      </c>
      <c r="K20" t="s">
        <v>64</v>
      </c>
      <c r="L20">
        <v>4</v>
      </c>
      <c r="M20" t="s">
        <v>40</v>
      </c>
      <c r="N20">
        <v>38</v>
      </c>
      <c r="O20">
        <v>1</v>
      </c>
      <c r="P20">
        <v>2</v>
      </c>
      <c r="Q20" t="s">
        <v>52</v>
      </c>
      <c r="R20">
        <v>4</v>
      </c>
      <c r="S20" t="s">
        <v>49</v>
      </c>
      <c r="T20">
        <v>5709</v>
      </c>
      <c r="U20">
        <v>15046</v>
      </c>
      <c r="V20">
        <v>1</v>
      </c>
      <c r="W20" t="s">
        <v>35</v>
      </c>
      <c r="X20">
        <v>13</v>
      </c>
      <c r="Y20">
        <v>3</v>
      </c>
      <c r="Z20">
        <v>3</v>
      </c>
      <c r="AA20">
        <v>0</v>
      </c>
      <c r="AB20">
        <v>9</v>
      </c>
      <c r="AC20">
        <v>0</v>
      </c>
      <c r="AD20">
        <v>4</v>
      </c>
      <c r="AE20">
        <v>5</v>
      </c>
      <c r="AF20">
        <v>0</v>
      </c>
      <c r="AG20">
        <v>0</v>
      </c>
      <c r="AH20">
        <v>0</v>
      </c>
    </row>
    <row r="21" spans="1:34" x14ac:dyDescent="0.35">
      <c r="A21" t="s">
        <v>78</v>
      </c>
      <c r="B21">
        <v>39</v>
      </c>
      <c r="C21" t="str">
        <f t="shared" si="0"/>
        <v>35-44</v>
      </c>
      <c r="D21" t="s">
        <v>35</v>
      </c>
      <c r="E21" t="s">
        <v>36</v>
      </c>
      <c r="F21" t="s">
        <v>37</v>
      </c>
      <c r="G21">
        <v>358</v>
      </c>
      <c r="H21" t="s">
        <v>38</v>
      </c>
      <c r="I21">
        <v>9</v>
      </c>
      <c r="J21">
        <v>5</v>
      </c>
      <c r="K21" t="s">
        <v>47</v>
      </c>
      <c r="L21">
        <v>1</v>
      </c>
      <c r="M21" t="s">
        <v>40</v>
      </c>
      <c r="N21">
        <v>62</v>
      </c>
      <c r="O21">
        <v>3</v>
      </c>
      <c r="P21">
        <v>1</v>
      </c>
      <c r="Q21" t="s">
        <v>48</v>
      </c>
      <c r="R21">
        <v>1</v>
      </c>
      <c r="S21" t="s">
        <v>56</v>
      </c>
      <c r="T21">
        <v>5521</v>
      </c>
      <c r="U21">
        <v>14977</v>
      </c>
      <c r="V21">
        <v>1</v>
      </c>
      <c r="W21" t="s">
        <v>35</v>
      </c>
      <c r="X21">
        <v>16</v>
      </c>
      <c r="Y21">
        <v>3</v>
      </c>
      <c r="Z21">
        <v>1</v>
      </c>
      <c r="AA21">
        <v>1</v>
      </c>
      <c r="AB21">
        <v>20</v>
      </c>
      <c r="AC21">
        <v>2</v>
      </c>
      <c r="AD21">
        <v>2</v>
      </c>
      <c r="AE21">
        <v>1</v>
      </c>
      <c r="AF21">
        <v>1</v>
      </c>
      <c r="AG21">
        <v>1</v>
      </c>
      <c r="AH21">
        <v>1</v>
      </c>
    </row>
    <row r="22" spans="1:34" x14ac:dyDescent="0.35">
      <c r="A22" t="s">
        <v>79</v>
      </c>
      <c r="B22">
        <v>31</v>
      </c>
      <c r="C22" t="str">
        <f t="shared" si="0"/>
        <v>25-34</v>
      </c>
      <c r="D22" t="s">
        <v>35</v>
      </c>
      <c r="E22" t="s">
        <v>36</v>
      </c>
      <c r="F22" t="s">
        <v>37</v>
      </c>
      <c r="G22">
        <v>1165</v>
      </c>
      <c r="H22" t="s">
        <v>46</v>
      </c>
      <c r="I22">
        <v>20</v>
      </c>
      <c r="J22">
        <v>3</v>
      </c>
      <c r="K22" t="s">
        <v>47</v>
      </c>
      <c r="L22">
        <v>3</v>
      </c>
      <c r="M22" t="s">
        <v>51</v>
      </c>
      <c r="N22">
        <v>47</v>
      </c>
      <c r="O22">
        <v>3</v>
      </c>
      <c r="P22">
        <v>2</v>
      </c>
      <c r="Q22" t="s">
        <v>80</v>
      </c>
      <c r="R22">
        <v>3</v>
      </c>
      <c r="S22" t="s">
        <v>56</v>
      </c>
      <c r="T22">
        <v>6493</v>
      </c>
      <c r="U22">
        <v>12535</v>
      </c>
      <c r="V22">
        <v>4</v>
      </c>
      <c r="W22" t="s">
        <v>35</v>
      </c>
      <c r="X22">
        <v>17</v>
      </c>
      <c r="Y22">
        <v>3</v>
      </c>
      <c r="Z22">
        <v>1</v>
      </c>
      <c r="AA22">
        <v>1</v>
      </c>
      <c r="AB22">
        <v>12</v>
      </c>
      <c r="AC22">
        <v>5</v>
      </c>
      <c r="AD22">
        <v>2</v>
      </c>
      <c r="AE22">
        <v>7</v>
      </c>
      <c r="AF22">
        <v>0</v>
      </c>
      <c r="AG22">
        <v>3</v>
      </c>
      <c r="AH22">
        <v>5</v>
      </c>
    </row>
    <row r="23" spans="1:34" x14ac:dyDescent="0.35">
      <c r="A23" t="s">
        <v>81</v>
      </c>
      <c r="B23">
        <v>52</v>
      </c>
      <c r="C23" t="str">
        <f t="shared" si="0"/>
        <v>45-54</v>
      </c>
      <c r="D23" t="s">
        <v>35</v>
      </c>
      <c r="E23" t="s">
        <v>36</v>
      </c>
      <c r="F23" t="s">
        <v>54</v>
      </c>
      <c r="G23">
        <v>114</v>
      </c>
      <c r="H23" t="s">
        <v>38</v>
      </c>
      <c r="I23">
        <v>12</v>
      </c>
      <c r="J23">
        <v>4</v>
      </c>
      <c r="K23" t="s">
        <v>64</v>
      </c>
      <c r="L23">
        <v>2</v>
      </c>
      <c r="M23" t="s">
        <v>40</v>
      </c>
      <c r="N23">
        <v>58</v>
      </c>
      <c r="O23">
        <v>3</v>
      </c>
      <c r="P23">
        <v>1</v>
      </c>
      <c r="Q23" t="s">
        <v>60</v>
      </c>
      <c r="R23">
        <v>2</v>
      </c>
      <c r="S23" t="s">
        <v>56</v>
      </c>
      <c r="T23">
        <v>8586</v>
      </c>
      <c r="U23">
        <v>22103</v>
      </c>
      <c r="V23">
        <v>2</v>
      </c>
      <c r="W23" t="s">
        <v>35</v>
      </c>
      <c r="X23">
        <v>11</v>
      </c>
      <c r="Y23">
        <v>3</v>
      </c>
      <c r="Z23">
        <v>2</v>
      </c>
      <c r="AA23">
        <v>0</v>
      </c>
      <c r="AB23">
        <v>29</v>
      </c>
      <c r="AC23">
        <v>4</v>
      </c>
      <c r="AD23">
        <v>4</v>
      </c>
      <c r="AE23">
        <v>0</v>
      </c>
      <c r="AF23">
        <v>0</v>
      </c>
      <c r="AG23">
        <v>0</v>
      </c>
      <c r="AH23">
        <v>0</v>
      </c>
    </row>
    <row r="24" spans="1:34" x14ac:dyDescent="0.35">
      <c r="A24" t="s">
        <v>82</v>
      </c>
      <c r="B24">
        <v>38</v>
      </c>
      <c r="C24" t="str">
        <f t="shared" si="0"/>
        <v>35-44</v>
      </c>
      <c r="D24" t="s">
        <v>43</v>
      </c>
      <c r="E24" t="s">
        <v>45</v>
      </c>
      <c r="F24" t="s">
        <v>54</v>
      </c>
      <c r="G24">
        <v>1035</v>
      </c>
      <c r="H24" t="s">
        <v>38</v>
      </c>
      <c r="I24">
        <v>6</v>
      </c>
      <c r="J24">
        <v>4</v>
      </c>
      <c r="K24" t="s">
        <v>69</v>
      </c>
      <c r="L24">
        <v>4</v>
      </c>
      <c r="M24" t="s">
        <v>51</v>
      </c>
      <c r="N24">
        <v>44</v>
      </c>
      <c r="O24">
        <v>3</v>
      </c>
      <c r="P24">
        <v>2</v>
      </c>
      <c r="Q24" t="s">
        <v>55</v>
      </c>
      <c r="R24">
        <v>4</v>
      </c>
      <c r="S24" t="s">
        <v>42</v>
      </c>
      <c r="T24">
        <v>7645</v>
      </c>
      <c r="U24">
        <v>4708</v>
      </c>
      <c r="V24">
        <v>6</v>
      </c>
      <c r="W24" t="s">
        <v>35</v>
      </c>
      <c r="X24">
        <v>18</v>
      </c>
      <c r="Y24">
        <v>3</v>
      </c>
      <c r="Z24">
        <v>3</v>
      </c>
      <c r="AA24">
        <v>0</v>
      </c>
      <c r="AB24">
        <v>21</v>
      </c>
      <c r="AC24">
        <v>4</v>
      </c>
      <c r="AD24">
        <v>3</v>
      </c>
      <c r="AE24">
        <v>7</v>
      </c>
      <c r="AF24">
        <v>7</v>
      </c>
      <c r="AG24">
        <v>2</v>
      </c>
      <c r="AH24">
        <v>0</v>
      </c>
    </row>
    <row r="25" spans="1:34" x14ac:dyDescent="0.35">
      <c r="A25" t="s">
        <v>83</v>
      </c>
      <c r="B25">
        <v>26</v>
      </c>
      <c r="C25" t="str">
        <f t="shared" si="0"/>
        <v>25-34</v>
      </c>
      <c r="D25" t="s">
        <v>35</v>
      </c>
      <c r="E25" t="s">
        <v>36</v>
      </c>
      <c r="F25" t="s">
        <v>54</v>
      </c>
      <c r="G25">
        <v>534</v>
      </c>
      <c r="H25" t="s">
        <v>38</v>
      </c>
      <c r="I25">
        <v>1</v>
      </c>
      <c r="J25">
        <v>2</v>
      </c>
      <c r="K25" t="s">
        <v>64</v>
      </c>
      <c r="L25">
        <v>3</v>
      </c>
      <c r="M25" t="s">
        <v>40</v>
      </c>
      <c r="N25">
        <v>85</v>
      </c>
      <c r="O25">
        <v>3</v>
      </c>
      <c r="P25">
        <v>1</v>
      </c>
      <c r="Q25" t="s">
        <v>48</v>
      </c>
      <c r="R25">
        <v>3</v>
      </c>
      <c r="S25" t="s">
        <v>42</v>
      </c>
      <c r="T25">
        <v>3396</v>
      </c>
      <c r="U25">
        <v>4079</v>
      </c>
      <c r="V25">
        <v>3</v>
      </c>
      <c r="W25" t="s">
        <v>43</v>
      </c>
      <c r="X25">
        <v>11</v>
      </c>
      <c r="Y25">
        <v>3</v>
      </c>
      <c r="Z25">
        <v>3</v>
      </c>
      <c r="AA25">
        <v>1</v>
      </c>
      <c r="AB25">
        <v>4</v>
      </c>
      <c r="AC25">
        <v>4</v>
      </c>
      <c r="AD25">
        <v>3</v>
      </c>
      <c r="AE25">
        <v>1</v>
      </c>
      <c r="AF25">
        <v>1</v>
      </c>
      <c r="AG25">
        <v>1</v>
      </c>
      <c r="AH25">
        <v>1</v>
      </c>
    </row>
    <row r="26" spans="1:34" x14ac:dyDescent="0.35">
      <c r="A26" t="s">
        <v>84</v>
      </c>
      <c r="B26">
        <v>41</v>
      </c>
      <c r="C26" t="str">
        <f t="shared" si="0"/>
        <v>35-44</v>
      </c>
      <c r="D26" t="s">
        <v>35</v>
      </c>
      <c r="E26" t="s">
        <v>36</v>
      </c>
      <c r="F26" t="s">
        <v>59</v>
      </c>
      <c r="G26">
        <v>195</v>
      </c>
      <c r="H26" t="s">
        <v>46</v>
      </c>
      <c r="I26">
        <v>16</v>
      </c>
      <c r="J26">
        <v>4</v>
      </c>
      <c r="K26" t="s">
        <v>64</v>
      </c>
      <c r="L26">
        <v>4</v>
      </c>
      <c r="M26" t="s">
        <v>40</v>
      </c>
      <c r="N26">
        <v>61</v>
      </c>
      <c r="O26">
        <v>1</v>
      </c>
      <c r="P26">
        <v>2</v>
      </c>
      <c r="Q26" t="s">
        <v>48</v>
      </c>
      <c r="R26">
        <v>1</v>
      </c>
      <c r="S26" t="s">
        <v>56</v>
      </c>
      <c r="T26">
        <v>8854</v>
      </c>
      <c r="U26">
        <v>17149</v>
      </c>
      <c r="V26">
        <v>3</v>
      </c>
      <c r="W26" t="s">
        <v>43</v>
      </c>
      <c r="X26">
        <v>16</v>
      </c>
      <c r="Y26">
        <v>3</v>
      </c>
      <c r="Z26">
        <v>1</v>
      </c>
      <c r="AA26">
        <v>2</v>
      </c>
      <c r="AB26">
        <v>18</v>
      </c>
      <c r="AC26">
        <v>2</v>
      </c>
      <c r="AD26">
        <v>2</v>
      </c>
      <c r="AE26">
        <v>3</v>
      </c>
      <c r="AF26">
        <v>2</v>
      </c>
      <c r="AG26">
        <v>0</v>
      </c>
      <c r="AH26">
        <v>0</v>
      </c>
    </row>
    <row r="27" spans="1:34" x14ac:dyDescent="0.35">
      <c r="A27" t="s">
        <v>85</v>
      </c>
      <c r="B27">
        <v>32</v>
      </c>
      <c r="C27" t="str">
        <f t="shared" si="0"/>
        <v>25-34</v>
      </c>
      <c r="D27" t="s">
        <v>35</v>
      </c>
      <c r="E27" t="s">
        <v>36</v>
      </c>
      <c r="F27" t="s">
        <v>37</v>
      </c>
      <c r="G27">
        <v>1238</v>
      </c>
      <c r="H27" t="s">
        <v>38</v>
      </c>
      <c r="I27">
        <v>7</v>
      </c>
      <c r="J27">
        <v>2</v>
      </c>
      <c r="K27" t="s">
        <v>47</v>
      </c>
      <c r="L27">
        <v>4</v>
      </c>
      <c r="M27" t="s">
        <v>40</v>
      </c>
      <c r="N27">
        <v>43</v>
      </c>
      <c r="O27">
        <v>1</v>
      </c>
      <c r="P27">
        <v>2</v>
      </c>
      <c r="Q27" t="s">
        <v>60</v>
      </c>
      <c r="R27">
        <v>3</v>
      </c>
      <c r="S27" t="s">
        <v>49</v>
      </c>
      <c r="T27">
        <v>6437</v>
      </c>
      <c r="U27">
        <v>14808</v>
      </c>
      <c r="V27">
        <v>4</v>
      </c>
      <c r="W27" t="s">
        <v>35</v>
      </c>
      <c r="X27">
        <v>19</v>
      </c>
      <c r="Y27">
        <v>3</v>
      </c>
      <c r="Z27">
        <v>1</v>
      </c>
      <c r="AA27">
        <v>1</v>
      </c>
      <c r="AB27">
        <v>12</v>
      </c>
      <c r="AC27">
        <v>2</v>
      </c>
      <c r="AD27">
        <v>2</v>
      </c>
      <c r="AE27">
        <v>3</v>
      </c>
      <c r="AF27">
        <v>2</v>
      </c>
      <c r="AG27">
        <v>1</v>
      </c>
      <c r="AH27">
        <v>1</v>
      </c>
    </row>
    <row r="28" spans="1:34" x14ac:dyDescent="0.35">
      <c r="A28" t="s">
        <v>86</v>
      </c>
      <c r="B28">
        <v>55</v>
      </c>
      <c r="C28" t="str">
        <f t="shared" si="0"/>
        <v>55+</v>
      </c>
      <c r="D28" t="s">
        <v>35</v>
      </c>
      <c r="E28" t="s">
        <v>36</v>
      </c>
      <c r="F28" t="s">
        <v>37</v>
      </c>
      <c r="G28">
        <v>1119</v>
      </c>
      <c r="H28" t="s">
        <v>38</v>
      </c>
      <c r="I28">
        <v>18</v>
      </c>
      <c r="J28">
        <v>2</v>
      </c>
      <c r="K28" t="s">
        <v>69</v>
      </c>
      <c r="L28">
        <v>3</v>
      </c>
      <c r="M28" t="s">
        <v>51</v>
      </c>
      <c r="N28">
        <v>83</v>
      </c>
      <c r="O28">
        <v>4</v>
      </c>
      <c r="P28">
        <v>3</v>
      </c>
      <c r="Q28" t="s">
        <v>48</v>
      </c>
      <c r="R28">
        <v>4</v>
      </c>
      <c r="S28" t="s">
        <v>42</v>
      </c>
      <c r="T28">
        <v>10067</v>
      </c>
      <c r="U28">
        <v>19770</v>
      </c>
      <c r="V28">
        <v>2</v>
      </c>
      <c r="W28" t="s">
        <v>35</v>
      </c>
      <c r="X28">
        <v>15</v>
      </c>
      <c r="Y28">
        <v>3</v>
      </c>
      <c r="Z28">
        <v>4</v>
      </c>
      <c r="AA28">
        <v>0</v>
      </c>
      <c r="AB28">
        <v>34</v>
      </c>
      <c r="AC28">
        <v>2</v>
      </c>
      <c r="AD28">
        <v>3</v>
      </c>
      <c r="AE28">
        <v>12</v>
      </c>
      <c r="AF28">
        <v>2</v>
      </c>
      <c r="AG28">
        <v>1</v>
      </c>
      <c r="AH28">
        <v>3</v>
      </c>
    </row>
    <row r="29" spans="1:34" x14ac:dyDescent="0.35">
      <c r="A29" t="s">
        <v>87</v>
      </c>
      <c r="B29">
        <v>31</v>
      </c>
      <c r="C29" t="str">
        <f t="shared" si="0"/>
        <v>25-34</v>
      </c>
      <c r="D29" t="s">
        <v>35</v>
      </c>
      <c r="E29" t="s">
        <v>36</v>
      </c>
      <c r="F29" t="s">
        <v>37</v>
      </c>
      <c r="G29">
        <v>1167</v>
      </c>
      <c r="H29" t="s">
        <v>46</v>
      </c>
      <c r="I29">
        <v>1</v>
      </c>
      <c r="J29">
        <v>4</v>
      </c>
      <c r="K29" t="s">
        <v>47</v>
      </c>
      <c r="L29">
        <v>4</v>
      </c>
      <c r="M29" t="s">
        <v>40</v>
      </c>
      <c r="N29">
        <v>88</v>
      </c>
      <c r="O29">
        <v>3</v>
      </c>
      <c r="P29">
        <v>1</v>
      </c>
      <c r="Q29" t="s">
        <v>80</v>
      </c>
      <c r="R29">
        <v>3</v>
      </c>
      <c r="S29" t="s">
        <v>49</v>
      </c>
      <c r="T29">
        <v>3068</v>
      </c>
      <c r="U29">
        <v>6090</v>
      </c>
      <c r="V29">
        <v>4</v>
      </c>
      <c r="W29" t="s">
        <v>35</v>
      </c>
      <c r="X29">
        <v>19</v>
      </c>
      <c r="Y29">
        <v>4</v>
      </c>
      <c r="Z29">
        <v>4</v>
      </c>
      <c r="AA29">
        <v>3</v>
      </c>
      <c r="AB29">
        <v>9</v>
      </c>
      <c r="AC29">
        <v>3</v>
      </c>
      <c r="AD29">
        <v>3</v>
      </c>
      <c r="AE29">
        <v>0</v>
      </c>
      <c r="AF29">
        <v>0</v>
      </c>
      <c r="AG29">
        <v>0</v>
      </c>
      <c r="AH29">
        <v>0</v>
      </c>
    </row>
    <row r="30" spans="1:34" x14ac:dyDescent="0.35">
      <c r="A30" t="s">
        <v>88</v>
      </c>
      <c r="B30">
        <v>38</v>
      </c>
      <c r="C30" t="str">
        <f t="shared" si="0"/>
        <v>35-44</v>
      </c>
      <c r="D30" t="s">
        <v>35</v>
      </c>
      <c r="E30" t="s">
        <v>36</v>
      </c>
      <c r="F30" t="s">
        <v>59</v>
      </c>
      <c r="G30">
        <v>714</v>
      </c>
      <c r="H30" t="s">
        <v>38</v>
      </c>
      <c r="I30">
        <v>5</v>
      </c>
      <c r="J30">
        <v>3</v>
      </c>
      <c r="K30" t="s">
        <v>69</v>
      </c>
      <c r="L30">
        <v>4</v>
      </c>
      <c r="M30" t="s">
        <v>40</v>
      </c>
      <c r="N30">
        <v>46</v>
      </c>
      <c r="O30">
        <v>2</v>
      </c>
      <c r="P30">
        <v>1</v>
      </c>
      <c r="Q30" t="s">
        <v>62</v>
      </c>
      <c r="R30">
        <v>2</v>
      </c>
      <c r="S30" t="s">
        <v>49</v>
      </c>
      <c r="T30">
        <v>6445</v>
      </c>
      <c r="U30">
        <v>26077</v>
      </c>
      <c r="V30">
        <v>1</v>
      </c>
      <c r="W30" t="s">
        <v>35</v>
      </c>
      <c r="X30">
        <v>11</v>
      </c>
      <c r="Y30">
        <v>3</v>
      </c>
      <c r="Z30">
        <v>4</v>
      </c>
      <c r="AA30">
        <v>1</v>
      </c>
      <c r="AB30">
        <v>15</v>
      </c>
      <c r="AC30">
        <v>1</v>
      </c>
      <c r="AD30">
        <v>2</v>
      </c>
      <c r="AE30">
        <v>2</v>
      </c>
      <c r="AF30">
        <v>0</v>
      </c>
      <c r="AG30">
        <v>2</v>
      </c>
      <c r="AH30">
        <v>0</v>
      </c>
    </row>
    <row r="31" spans="1:34" x14ac:dyDescent="0.35">
      <c r="A31" t="s">
        <v>89</v>
      </c>
      <c r="B31">
        <v>39</v>
      </c>
      <c r="C31" t="str">
        <f t="shared" si="0"/>
        <v>35-44</v>
      </c>
      <c r="D31" t="s">
        <v>35</v>
      </c>
      <c r="E31" t="s">
        <v>36</v>
      </c>
      <c r="F31" t="s">
        <v>54</v>
      </c>
      <c r="G31">
        <v>1482</v>
      </c>
      <c r="H31" t="s">
        <v>38</v>
      </c>
      <c r="I31">
        <v>16</v>
      </c>
      <c r="J31">
        <v>1</v>
      </c>
      <c r="K31" t="s">
        <v>47</v>
      </c>
      <c r="L31">
        <v>2</v>
      </c>
      <c r="M31" t="s">
        <v>40</v>
      </c>
      <c r="N31">
        <v>34</v>
      </c>
      <c r="O31">
        <v>4</v>
      </c>
      <c r="P31">
        <v>1</v>
      </c>
      <c r="Q31" t="s">
        <v>60</v>
      </c>
      <c r="R31">
        <v>2</v>
      </c>
      <c r="S31" t="s">
        <v>42</v>
      </c>
      <c r="T31">
        <v>5109</v>
      </c>
      <c r="U31">
        <v>12816</v>
      </c>
      <c r="V31">
        <v>3</v>
      </c>
      <c r="W31" t="s">
        <v>35</v>
      </c>
      <c r="X31">
        <v>20</v>
      </c>
      <c r="Y31">
        <v>3</v>
      </c>
      <c r="Z31">
        <v>1</v>
      </c>
      <c r="AA31">
        <v>0</v>
      </c>
      <c r="AB31">
        <v>18</v>
      </c>
      <c r="AC31">
        <v>1</v>
      </c>
      <c r="AD31">
        <v>1</v>
      </c>
      <c r="AE31">
        <v>4</v>
      </c>
      <c r="AF31">
        <v>4</v>
      </c>
      <c r="AG31">
        <v>3</v>
      </c>
      <c r="AH31">
        <v>4</v>
      </c>
    </row>
    <row r="32" spans="1:34" x14ac:dyDescent="0.35">
      <c r="A32" t="s">
        <v>90</v>
      </c>
      <c r="B32">
        <v>35</v>
      </c>
      <c r="C32" t="str">
        <f t="shared" si="0"/>
        <v>35-44</v>
      </c>
      <c r="D32" t="s">
        <v>35</v>
      </c>
      <c r="E32" t="s">
        <v>36</v>
      </c>
      <c r="F32" t="s">
        <v>37</v>
      </c>
      <c r="G32">
        <v>153</v>
      </c>
      <c r="H32" t="s">
        <v>38</v>
      </c>
      <c r="I32">
        <v>1</v>
      </c>
      <c r="J32">
        <v>3</v>
      </c>
      <c r="K32" t="s">
        <v>39</v>
      </c>
      <c r="L32">
        <v>1</v>
      </c>
      <c r="M32" t="s">
        <v>51</v>
      </c>
      <c r="N32">
        <v>76</v>
      </c>
      <c r="O32">
        <v>3</v>
      </c>
      <c r="P32">
        <v>3</v>
      </c>
      <c r="Q32" t="s">
        <v>55</v>
      </c>
      <c r="R32">
        <v>4</v>
      </c>
      <c r="S32" t="s">
        <v>56</v>
      </c>
      <c r="T32">
        <v>8944</v>
      </c>
      <c r="U32">
        <v>2726</v>
      </c>
      <c r="V32">
        <v>3</v>
      </c>
      <c r="W32" t="s">
        <v>35</v>
      </c>
      <c r="X32">
        <v>12</v>
      </c>
      <c r="Y32">
        <v>3</v>
      </c>
      <c r="Z32">
        <v>2</v>
      </c>
      <c r="AA32">
        <v>2</v>
      </c>
      <c r="AB32">
        <v>11</v>
      </c>
      <c r="AC32">
        <v>4</v>
      </c>
      <c r="AD32">
        <v>2</v>
      </c>
      <c r="AE32">
        <v>11</v>
      </c>
      <c r="AF32">
        <v>0</v>
      </c>
      <c r="AG32">
        <v>5</v>
      </c>
      <c r="AH32">
        <v>3</v>
      </c>
    </row>
    <row r="33" spans="1:34" x14ac:dyDescent="0.35">
      <c r="A33" t="s">
        <v>91</v>
      </c>
      <c r="B33">
        <v>31</v>
      </c>
      <c r="C33" t="str">
        <f t="shared" si="0"/>
        <v>25-34</v>
      </c>
      <c r="D33" t="s">
        <v>35</v>
      </c>
      <c r="E33" t="s">
        <v>36</v>
      </c>
      <c r="F33" t="s">
        <v>54</v>
      </c>
      <c r="G33">
        <v>692</v>
      </c>
      <c r="H33" t="s">
        <v>46</v>
      </c>
      <c r="I33">
        <v>8</v>
      </c>
      <c r="J33">
        <v>4</v>
      </c>
      <c r="K33" t="s">
        <v>64</v>
      </c>
      <c r="L33">
        <v>4</v>
      </c>
      <c r="M33" t="s">
        <v>51</v>
      </c>
      <c r="N33">
        <v>69</v>
      </c>
      <c r="O33">
        <v>3</v>
      </c>
      <c r="P33">
        <v>1</v>
      </c>
      <c r="Q33" t="s">
        <v>80</v>
      </c>
      <c r="R33">
        <v>3</v>
      </c>
      <c r="S33" t="s">
        <v>56</v>
      </c>
      <c r="T33">
        <v>4094</v>
      </c>
      <c r="U33">
        <v>11516</v>
      </c>
      <c r="V33">
        <v>3</v>
      </c>
      <c r="W33" t="s">
        <v>35</v>
      </c>
      <c r="X33">
        <v>15</v>
      </c>
      <c r="Y33">
        <v>4</v>
      </c>
      <c r="Z33">
        <v>4</v>
      </c>
      <c r="AA33">
        <v>1</v>
      </c>
      <c r="AB33">
        <v>8</v>
      </c>
      <c r="AC33">
        <v>5</v>
      </c>
      <c r="AD33">
        <v>3</v>
      </c>
      <c r="AE33">
        <v>4</v>
      </c>
      <c r="AF33">
        <v>0</v>
      </c>
      <c r="AG33">
        <v>1</v>
      </c>
      <c r="AH33">
        <v>1</v>
      </c>
    </row>
    <row r="34" spans="1:34" x14ac:dyDescent="0.35">
      <c r="A34" t="s">
        <v>92</v>
      </c>
      <c r="B34">
        <v>38</v>
      </c>
      <c r="C34" t="str">
        <f t="shared" si="0"/>
        <v>35-44</v>
      </c>
      <c r="D34" t="s">
        <v>43</v>
      </c>
      <c r="E34" t="s">
        <v>45</v>
      </c>
      <c r="F34" t="s">
        <v>54</v>
      </c>
      <c r="G34">
        <v>459</v>
      </c>
      <c r="H34" t="s">
        <v>38</v>
      </c>
      <c r="I34">
        <v>13</v>
      </c>
      <c r="J34">
        <v>1</v>
      </c>
      <c r="K34" t="s">
        <v>69</v>
      </c>
      <c r="L34">
        <v>2</v>
      </c>
      <c r="M34" t="s">
        <v>51</v>
      </c>
      <c r="N34">
        <v>89</v>
      </c>
      <c r="O34">
        <v>3</v>
      </c>
      <c r="P34">
        <v>1</v>
      </c>
      <c r="Q34" t="s">
        <v>62</v>
      </c>
      <c r="R34">
        <v>3</v>
      </c>
      <c r="S34" t="s">
        <v>49</v>
      </c>
      <c r="T34">
        <v>5812</v>
      </c>
      <c r="U34">
        <v>6543</v>
      </c>
      <c r="V34">
        <v>2</v>
      </c>
      <c r="W34" t="s">
        <v>35</v>
      </c>
      <c r="X34">
        <v>11</v>
      </c>
      <c r="Y34">
        <v>4</v>
      </c>
      <c r="Z34">
        <v>4</v>
      </c>
      <c r="AA34">
        <v>1</v>
      </c>
      <c r="AB34">
        <v>15</v>
      </c>
      <c r="AC34">
        <v>3</v>
      </c>
      <c r="AD34">
        <v>2</v>
      </c>
      <c r="AE34">
        <v>1</v>
      </c>
      <c r="AF34">
        <v>1</v>
      </c>
      <c r="AG34">
        <v>0</v>
      </c>
      <c r="AH34">
        <v>1</v>
      </c>
    </row>
    <row r="35" spans="1:34" x14ac:dyDescent="0.35">
      <c r="A35" t="s">
        <v>93</v>
      </c>
      <c r="B35">
        <v>38</v>
      </c>
      <c r="C35" t="str">
        <f t="shared" si="0"/>
        <v>35-44</v>
      </c>
      <c r="D35" t="s">
        <v>43</v>
      </c>
      <c r="E35" t="s">
        <v>45</v>
      </c>
      <c r="F35" t="s">
        <v>37</v>
      </c>
      <c r="G35">
        <v>1046</v>
      </c>
      <c r="H35" t="s">
        <v>46</v>
      </c>
      <c r="I35">
        <v>29</v>
      </c>
      <c r="J35">
        <v>4</v>
      </c>
      <c r="K35" t="s">
        <v>64</v>
      </c>
      <c r="L35">
        <v>3</v>
      </c>
      <c r="M35" t="s">
        <v>40</v>
      </c>
      <c r="N35">
        <v>87</v>
      </c>
      <c r="O35">
        <v>3</v>
      </c>
      <c r="P35">
        <v>3</v>
      </c>
      <c r="Q35" t="s">
        <v>80</v>
      </c>
      <c r="R35">
        <v>4</v>
      </c>
      <c r="S35" t="s">
        <v>49</v>
      </c>
      <c r="T35">
        <v>8612</v>
      </c>
      <c r="U35">
        <v>13801</v>
      </c>
      <c r="V35">
        <v>0</v>
      </c>
      <c r="W35" t="s">
        <v>43</v>
      </c>
      <c r="X35">
        <v>11</v>
      </c>
      <c r="Y35">
        <v>4</v>
      </c>
      <c r="Z35">
        <v>2</v>
      </c>
      <c r="AA35">
        <v>0</v>
      </c>
      <c r="AB35">
        <v>14</v>
      </c>
      <c r="AC35">
        <v>2</v>
      </c>
      <c r="AD35">
        <v>3</v>
      </c>
      <c r="AE35">
        <v>14</v>
      </c>
      <c r="AF35">
        <v>4</v>
      </c>
      <c r="AG35">
        <v>0</v>
      </c>
      <c r="AH35">
        <v>4</v>
      </c>
    </row>
    <row r="36" spans="1:34" x14ac:dyDescent="0.35">
      <c r="A36" t="s">
        <v>94</v>
      </c>
      <c r="B36">
        <v>20</v>
      </c>
      <c r="C36" t="str">
        <f t="shared" si="0"/>
        <v>under 25</v>
      </c>
      <c r="D36" t="s">
        <v>35</v>
      </c>
      <c r="E36" t="s">
        <v>36</v>
      </c>
      <c r="F36" t="s">
        <v>54</v>
      </c>
      <c r="G36">
        <v>298</v>
      </c>
      <c r="H36" t="s">
        <v>38</v>
      </c>
      <c r="I36">
        <v>16</v>
      </c>
      <c r="J36">
        <v>2</v>
      </c>
      <c r="K36" t="s">
        <v>64</v>
      </c>
      <c r="L36">
        <v>3</v>
      </c>
      <c r="M36" t="s">
        <v>40</v>
      </c>
      <c r="N36">
        <v>32</v>
      </c>
      <c r="O36">
        <v>2</v>
      </c>
      <c r="P36">
        <v>1</v>
      </c>
      <c r="Q36" t="s">
        <v>48</v>
      </c>
      <c r="R36">
        <v>2</v>
      </c>
      <c r="S36" t="s">
        <v>49</v>
      </c>
      <c r="T36">
        <v>3657</v>
      </c>
      <c r="U36">
        <v>19343</v>
      </c>
      <c r="V36">
        <v>1</v>
      </c>
      <c r="W36" t="s">
        <v>35</v>
      </c>
      <c r="X36">
        <v>11</v>
      </c>
      <c r="Y36">
        <v>3</v>
      </c>
      <c r="Z36">
        <v>3</v>
      </c>
      <c r="AA36">
        <v>0</v>
      </c>
      <c r="AB36">
        <v>0</v>
      </c>
      <c r="AC36">
        <v>4</v>
      </c>
      <c r="AD36">
        <v>2</v>
      </c>
      <c r="AE36">
        <v>0</v>
      </c>
      <c r="AF36">
        <v>0</v>
      </c>
      <c r="AG36">
        <v>0</v>
      </c>
      <c r="AH36">
        <v>0</v>
      </c>
    </row>
    <row r="37" spans="1:34" x14ac:dyDescent="0.35">
      <c r="A37" t="s">
        <v>95</v>
      </c>
      <c r="B37">
        <v>34</v>
      </c>
      <c r="C37" t="str">
        <f t="shared" si="0"/>
        <v>25-34</v>
      </c>
      <c r="D37" t="s">
        <v>35</v>
      </c>
      <c r="E37" t="s">
        <v>36</v>
      </c>
      <c r="F37" t="s">
        <v>37</v>
      </c>
      <c r="G37">
        <v>772</v>
      </c>
      <c r="H37" t="s">
        <v>38</v>
      </c>
      <c r="I37">
        <v>2</v>
      </c>
      <c r="J37">
        <v>3</v>
      </c>
      <c r="K37" t="s">
        <v>64</v>
      </c>
      <c r="L37">
        <v>1</v>
      </c>
      <c r="M37" t="s">
        <v>40</v>
      </c>
      <c r="N37">
        <v>69</v>
      </c>
      <c r="O37">
        <v>4</v>
      </c>
      <c r="P37">
        <v>2</v>
      </c>
      <c r="Q37" t="s">
        <v>62</v>
      </c>
      <c r="R37">
        <v>4</v>
      </c>
      <c r="S37" t="s">
        <v>49</v>
      </c>
      <c r="T37">
        <v>8806</v>
      </c>
      <c r="U37">
        <v>24431</v>
      </c>
      <c r="V37">
        <v>1</v>
      </c>
      <c r="W37" t="s">
        <v>43</v>
      </c>
      <c r="X37">
        <v>14</v>
      </c>
      <c r="Y37">
        <v>4</v>
      </c>
      <c r="Z37">
        <v>2</v>
      </c>
      <c r="AA37">
        <v>2</v>
      </c>
      <c r="AB37">
        <v>11</v>
      </c>
      <c r="AC37">
        <v>1</v>
      </c>
      <c r="AD37">
        <v>3</v>
      </c>
      <c r="AE37">
        <v>7</v>
      </c>
      <c r="AF37">
        <v>5</v>
      </c>
      <c r="AG37">
        <v>3</v>
      </c>
      <c r="AH37">
        <v>0</v>
      </c>
    </row>
    <row r="38" spans="1:34" x14ac:dyDescent="0.35">
      <c r="A38" t="s">
        <v>96</v>
      </c>
      <c r="B38">
        <v>40</v>
      </c>
      <c r="C38" t="str">
        <f t="shared" si="0"/>
        <v>35-44</v>
      </c>
      <c r="D38" t="s">
        <v>35</v>
      </c>
      <c r="E38" t="s">
        <v>36</v>
      </c>
      <c r="F38" t="s">
        <v>37</v>
      </c>
      <c r="G38">
        <v>973</v>
      </c>
      <c r="H38" t="s">
        <v>38</v>
      </c>
      <c r="I38">
        <v>7</v>
      </c>
      <c r="J38">
        <v>3</v>
      </c>
      <c r="K38" t="s">
        <v>39</v>
      </c>
      <c r="L38">
        <v>4</v>
      </c>
      <c r="M38" t="s">
        <v>40</v>
      </c>
      <c r="N38">
        <v>43</v>
      </c>
      <c r="O38">
        <v>2</v>
      </c>
      <c r="P38">
        <v>1</v>
      </c>
      <c r="Q38" t="s">
        <v>60</v>
      </c>
      <c r="R38">
        <v>4</v>
      </c>
      <c r="S38" t="s">
        <v>56</v>
      </c>
      <c r="T38">
        <v>4988</v>
      </c>
      <c r="U38">
        <v>15258</v>
      </c>
      <c r="V38">
        <v>5</v>
      </c>
      <c r="W38" t="s">
        <v>43</v>
      </c>
      <c r="X38">
        <v>14</v>
      </c>
      <c r="Y38">
        <v>3</v>
      </c>
      <c r="Z38">
        <v>3</v>
      </c>
      <c r="AA38">
        <v>1</v>
      </c>
      <c r="AB38">
        <v>18</v>
      </c>
      <c r="AC38">
        <v>4</v>
      </c>
      <c r="AD38">
        <v>1</v>
      </c>
      <c r="AE38">
        <v>2</v>
      </c>
      <c r="AF38">
        <v>2</v>
      </c>
      <c r="AG38">
        <v>2</v>
      </c>
      <c r="AH38">
        <v>2</v>
      </c>
    </row>
    <row r="39" spans="1:34" x14ac:dyDescent="0.35">
      <c r="A39" t="s">
        <v>97</v>
      </c>
      <c r="B39">
        <v>26</v>
      </c>
      <c r="C39" t="str">
        <f t="shared" si="0"/>
        <v>25-34</v>
      </c>
      <c r="D39" t="s">
        <v>35</v>
      </c>
      <c r="E39" t="s">
        <v>36</v>
      </c>
      <c r="F39" t="s">
        <v>37</v>
      </c>
      <c r="G39">
        <v>1240</v>
      </c>
      <c r="H39" t="s">
        <v>38</v>
      </c>
      <c r="I39">
        <v>4</v>
      </c>
      <c r="J39">
        <v>2</v>
      </c>
      <c r="K39" t="s">
        <v>39</v>
      </c>
      <c r="L39">
        <v>3</v>
      </c>
      <c r="M39" t="s">
        <v>51</v>
      </c>
      <c r="N39">
        <v>95</v>
      </c>
      <c r="O39">
        <v>3</v>
      </c>
      <c r="P39">
        <v>3</v>
      </c>
      <c r="Q39" t="s">
        <v>52</v>
      </c>
      <c r="R39">
        <v>4</v>
      </c>
      <c r="S39" t="s">
        <v>42</v>
      </c>
      <c r="T39">
        <v>6469</v>
      </c>
      <c r="U39">
        <v>13171</v>
      </c>
      <c r="V39">
        <v>3</v>
      </c>
      <c r="W39" t="s">
        <v>43</v>
      </c>
      <c r="X39">
        <v>22</v>
      </c>
      <c r="Y39">
        <v>3</v>
      </c>
      <c r="Z39">
        <v>1</v>
      </c>
      <c r="AA39">
        <v>0</v>
      </c>
      <c r="AB39">
        <v>5</v>
      </c>
      <c r="AC39">
        <v>3</v>
      </c>
      <c r="AD39">
        <v>3</v>
      </c>
      <c r="AE39">
        <v>5</v>
      </c>
      <c r="AF39">
        <v>3</v>
      </c>
      <c r="AG39">
        <v>2</v>
      </c>
      <c r="AH39">
        <v>1</v>
      </c>
    </row>
    <row r="40" spans="1:34" x14ac:dyDescent="0.35">
      <c r="A40" t="s">
        <v>98</v>
      </c>
      <c r="B40">
        <v>36</v>
      </c>
      <c r="C40" t="str">
        <f t="shared" si="0"/>
        <v>35-44</v>
      </c>
      <c r="D40" t="s">
        <v>35</v>
      </c>
      <c r="E40" t="s">
        <v>36</v>
      </c>
      <c r="F40" t="s">
        <v>37</v>
      </c>
      <c r="G40">
        <v>729</v>
      </c>
      <c r="H40" t="s">
        <v>99</v>
      </c>
      <c r="I40">
        <v>3</v>
      </c>
      <c r="J40">
        <v>3</v>
      </c>
      <c r="K40" t="s">
        <v>99</v>
      </c>
      <c r="L40">
        <v>4</v>
      </c>
      <c r="M40" t="s">
        <v>40</v>
      </c>
      <c r="N40">
        <v>43</v>
      </c>
      <c r="O40">
        <v>3</v>
      </c>
      <c r="P40">
        <v>2</v>
      </c>
      <c r="Q40" t="s">
        <v>99</v>
      </c>
      <c r="R40">
        <v>1</v>
      </c>
      <c r="S40" t="s">
        <v>56</v>
      </c>
      <c r="T40">
        <v>5719</v>
      </c>
      <c r="U40">
        <v>12831</v>
      </c>
      <c r="V40">
        <v>2</v>
      </c>
      <c r="W40" t="s">
        <v>35</v>
      </c>
      <c r="X40">
        <v>14</v>
      </c>
      <c r="Y40">
        <v>3</v>
      </c>
      <c r="Z40">
        <v>1</v>
      </c>
      <c r="AA40">
        <v>1</v>
      </c>
      <c r="AB40">
        <v>16</v>
      </c>
      <c r="AC40">
        <v>3</v>
      </c>
      <c r="AD40">
        <v>1</v>
      </c>
      <c r="AE40">
        <v>5</v>
      </c>
      <c r="AF40">
        <v>0</v>
      </c>
      <c r="AG40">
        <v>0</v>
      </c>
      <c r="AH40">
        <v>5</v>
      </c>
    </row>
    <row r="41" spans="1:34" x14ac:dyDescent="0.35">
      <c r="A41" t="s">
        <v>100</v>
      </c>
      <c r="B41">
        <v>46</v>
      </c>
      <c r="C41" t="str">
        <f t="shared" si="0"/>
        <v>45-54</v>
      </c>
      <c r="D41" t="s">
        <v>35</v>
      </c>
      <c r="E41" t="s">
        <v>36</v>
      </c>
      <c r="F41" t="s">
        <v>37</v>
      </c>
      <c r="G41">
        <v>1346</v>
      </c>
      <c r="H41" t="s">
        <v>38</v>
      </c>
      <c r="I41">
        <v>6</v>
      </c>
      <c r="J41">
        <v>1</v>
      </c>
      <c r="K41" t="s">
        <v>64</v>
      </c>
      <c r="L41">
        <v>1</v>
      </c>
      <c r="M41" t="s">
        <v>40</v>
      </c>
      <c r="N41">
        <v>85</v>
      </c>
      <c r="O41">
        <v>2</v>
      </c>
      <c r="P41">
        <v>4</v>
      </c>
      <c r="Q41" t="s">
        <v>55</v>
      </c>
      <c r="R41">
        <v>4</v>
      </c>
      <c r="S41" t="s">
        <v>42</v>
      </c>
      <c r="T41">
        <v>12304</v>
      </c>
      <c r="U41">
        <v>8638</v>
      </c>
      <c r="V41">
        <v>3</v>
      </c>
      <c r="W41" t="s">
        <v>35</v>
      </c>
      <c r="X41">
        <v>16</v>
      </c>
      <c r="Y41">
        <v>3</v>
      </c>
      <c r="Z41">
        <v>4</v>
      </c>
      <c r="AA41">
        <v>1</v>
      </c>
      <c r="AB41">
        <v>24</v>
      </c>
      <c r="AC41">
        <v>2</v>
      </c>
      <c r="AD41">
        <v>2</v>
      </c>
      <c r="AE41">
        <v>16</v>
      </c>
      <c r="AF41">
        <v>0</v>
      </c>
      <c r="AG41">
        <v>0</v>
      </c>
      <c r="AH41">
        <v>1</v>
      </c>
    </row>
    <row r="42" spans="1:34" x14ac:dyDescent="0.35">
      <c r="A42" t="s">
        <v>101</v>
      </c>
      <c r="B42">
        <v>44</v>
      </c>
      <c r="C42" t="str">
        <f t="shared" si="0"/>
        <v>35-44</v>
      </c>
      <c r="D42" t="s">
        <v>35</v>
      </c>
      <c r="E42" t="s">
        <v>36</v>
      </c>
      <c r="F42" t="s">
        <v>37</v>
      </c>
      <c r="G42">
        <v>1284</v>
      </c>
      <c r="H42" t="s">
        <v>46</v>
      </c>
      <c r="I42">
        <v>14</v>
      </c>
      <c r="J42">
        <v>2</v>
      </c>
      <c r="K42" t="s">
        <v>47</v>
      </c>
      <c r="L42">
        <v>4</v>
      </c>
      <c r="M42" t="s">
        <v>51</v>
      </c>
      <c r="N42">
        <v>70</v>
      </c>
      <c r="O42">
        <v>3</v>
      </c>
      <c r="P42">
        <v>3</v>
      </c>
      <c r="Q42" t="s">
        <v>48</v>
      </c>
      <c r="R42">
        <v>4</v>
      </c>
      <c r="S42" t="s">
        <v>49</v>
      </c>
      <c r="T42">
        <v>7752</v>
      </c>
      <c r="U42">
        <v>23592</v>
      </c>
      <c r="V42">
        <v>6</v>
      </c>
      <c r="W42" t="s">
        <v>43</v>
      </c>
      <c r="X42">
        <v>18</v>
      </c>
      <c r="Y42">
        <v>3</v>
      </c>
      <c r="Z42">
        <v>4</v>
      </c>
      <c r="AA42">
        <v>2</v>
      </c>
      <c r="AB42">
        <v>19</v>
      </c>
      <c r="AC42">
        <v>5</v>
      </c>
      <c r="AD42">
        <v>3</v>
      </c>
      <c r="AE42">
        <v>11</v>
      </c>
      <c r="AF42">
        <v>4</v>
      </c>
      <c r="AG42">
        <v>0</v>
      </c>
      <c r="AH42">
        <v>4</v>
      </c>
    </row>
    <row r="43" spans="1:34" x14ac:dyDescent="0.35">
      <c r="A43" t="s">
        <v>102</v>
      </c>
      <c r="B43">
        <v>25</v>
      </c>
      <c r="C43" t="str">
        <f t="shared" si="0"/>
        <v>under 25</v>
      </c>
      <c r="D43" t="s">
        <v>35</v>
      </c>
      <c r="E43" t="s">
        <v>36</v>
      </c>
      <c r="F43" t="s">
        <v>37</v>
      </c>
      <c r="G43">
        <v>1416</v>
      </c>
      <c r="H43" t="s">
        <v>46</v>
      </c>
      <c r="I43">
        <v>3</v>
      </c>
      <c r="J43">
        <v>2</v>
      </c>
      <c r="K43" t="s">
        <v>103</v>
      </c>
      <c r="L43">
        <v>1</v>
      </c>
      <c r="M43" t="s">
        <v>51</v>
      </c>
      <c r="N43">
        <v>73</v>
      </c>
      <c r="O43">
        <v>3</v>
      </c>
      <c r="P43">
        <v>1</v>
      </c>
      <c r="Q43" t="s">
        <v>48</v>
      </c>
      <c r="R43">
        <v>3</v>
      </c>
      <c r="S43" t="s">
        <v>49</v>
      </c>
      <c r="T43">
        <v>2549</v>
      </c>
      <c r="U43">
        <v>16051</v>
      </c>
      <c r="V43">
        <v>4</v>
      </c>
      <c r="W43" t="s">
        <v>43</v>
      </c>
      <c r="X43">
        <v>11</v>
      </c>
      <c r="Y43">
        <v>3</v>
      </c>
      <c r="Z43">
        <v>4</v>
      </c>
      <c r="AA43">
        <v>1</v>
      </c>
      <c r="AB43">
        <v>0</v>
      </c>
      <c r="AC43">
        <v>4</v>
      </c>
      <c r="AD43">
        <v>2</v>
      </c>
      <c r="AE43">
        <v>0</v>
      </c>
      <c r="AF43">
        <v>0</v>
      </c>
      <c r="AG43">
        <v>0</v>
      </c>
      <c r="AH43">
        <v>0</v>
      </c>
    </row>
    <row r="44" spans="1:34" x14ac:dyDescent="0.35">
      <c r="A44" t="s">
        <v>104</v>
      </c>
      <c r="B44">
        <v>21</v>
      </c>
      <c r="C44" t="str">
        <f t="shared" si="0"/>
        <v>under 25</v>
      </c>
      <c r="D44" t="s">
        <v>43</v>
      </c>
      <c r="E44" t="s">
        <v>45</v>
      </c>
      <c r="F44" t="s">
        <v>54</v>
      </c>
      <c r="G44">
        <v>1058</v>
      </c>
      <c r="H44" t="s">
        <v>38</v>
      </c>
      <c r="I44">
        <v>2</v>
      </c>
      <c r="J44">
        <v>3</v>
      </c>
      <c r="K44" t="s">
        <v>69</v>
      </c>
      <c r="L44">
        <v>3</v>
      </c>
      <c r="M44" t="s">
        <v>40</v>
      </c>
      <c r="N44">
        <v>85</v>
      </c>
      <c r="O44">
        <v>3</v>
      </c>
      <c r="P44">
        <v>1</v>
      </c>
      <c r="Q44" t="s">
        <v>60</v>
      </c>
      <c r="R44">
        <v>4</v>
      </c>
      <c r="S44" t="s">
        <v>42</v>
      </c>
      <c r="T44">
        <v>3894</v>
      </c>
      <c r="U44">
        <v>17600</v>
      </c>
      <c r="V44">
        <v>1</v>
      </c>
      <c r="W44" t="s">
        <v>43</v>
      </c>
      <c r="X44">
        <v>11</v>
      </c>
      <c r="Y44">
        <v>3</v>
      </c>
      <c r="Z44">
        <v>3</v>
      </c>
      <c r="AA44">
        <v>1</v>
      </c>
      <c r="AB44">
        <v>0</v>
      </c>
      <c r="AC44">
        <v>4</v>
      </c>
      <c r="AD44">
        <v>3</v>
      </c>
      <c r="AE44">
        <v>0</v>
      </c>
      <c r="AF44">
        <v>0</v>
      </c>
      <c r="AG44">
        <v>0</v>
      </c>
      <c r="AH44">
        <v>0</v>
      </c>
    </row>
    <row r="45" spans="1:34" x14ac:dyDescent="0.35">
      <c r="A45" t="s">
        <v>105</v>
      </c>
      <c r="B45">
        <v>25</v>
      </c>
      <c r="C45" t="str">
        <f t="shared" si="0"/>
        <v>under 25</v>
      </c>
      <c r="D45" t="s">
        <v>43</v>
      </c>
      <c r="E45" t="s">
        <v>45</v>
      </c>
      <c r="F45" t="s">
        <v>54</v>
      </c>
      <c r="G45">
        <v>1087</v>
      </c>
      <c r="H45" t="s">
        <v>38</v>
      </c>
      <c r="I45">
        <v>8</v>
      </c>
      <c r="J45">
        <v>3</v>
      </c>
      <c r="K45" t="s">
        <v>47</v>
      </c>
      <c r="L45">
        <v>3</v>
      </c>
      <c r="M45" t="s">
        <v>51</v>
      </c>
      <c r="N45">
        <v>61</v>
      </c>
      <c r="O45">
        <v>4</v>
      </c>
      <c r="P45">
        <v>1</v>
      </c>
      <c r="Q45" t="s">
        <v>60</v>
      </c>
      <c r="R45">
        <v>3</v>
      </c>
      <c r="S45" t="s">
        <v>42</v>
      </c>
      <c r="T45">
        <v>3934</v>
      </c>
      <c r="U45">
        <v>11160</v>
      </c>
      <c r="V45">
        <v>3</v>
      </c>
      <c r="W45" t="s">
        <v>43</v>
      </c>
      <c r="X45">
        <v>14</v>
      </c>
      <c r="Y45">
        <v>3</v>
      </c>
      <c r="Z45">
        <v>4</v>
      </c>
      <c r="AA45">
        <v>0</v>
      </c>
      <c r="AB45">
        <v>1</v>
      </c>
      <c r="AC45">
        <v>3</v>
      </c>
      <c r="AD45">
        <v>3</v>
      </c>
      <c r="AE45">
        <v>0</v>
      </c>
      <c r="AF45">
        <v>0</v>
      </c>
      <c r="AG45">
        <v>0</v>
      </c>
      <c r="AH45">
        <v>0</v>
      </c>
    </row>
    <row r="46" spans="1:34" x14ac:dyDescent="0.35">
      <c r="A46" t="s">
        <v>106</v>
      </c>
      <c r="B46">
        <v>33</v>
      </c>
      <c r="C46" t="str">
        <f t="shared" si="0"/>
        <v>25-34</v>
      </c>
      <c r="D46" t="s">
        <v>43</v>
      </c>
      <c r="E46" t="s">
        <v>45</v>
      </c>
      <c r="F46" t="s">
        <v>37</v>
      </c>
      <c r="G46">
        <v>1253</v>
      </c>
      <c r="H46" t="s">
        <v>38</v>
      </c>
      <c r="I46">
        <v>2</v>
      </c>
      <c r="J46">
        <v>3</v>
      </c>
      <c r="K46" t="s">
        <v>64</v>
      </c>
      <c r="L46">
        <v>3</v>
      </c>
      <c r="M46" t="s">
        <v>40</v>
      </c>
      <c r="N46">
        <v>73</v>
      </c>
      <c r="O46">
        <v>3</v>
      </c>
      <c r="P46">
        <v>1</v>
      </c>
      <c r="Q46" t="s">
        <v>60</v>
      </c>
      <c r="R46">
        <v>4</v>
      </c>
      <c r="S46" t="s">
        <v>56</v>
      </c>
      <c r="T46">
        <v>3694</v>
      </c>
      <c r="U46">
        <v>21201</v>
      </c>
      <c r="V46">
        <v>4</v>
      </c>
      <c r="W46" t="s">
        <v>35</v>
      </c>
      <c r="X46">
        <v>11</v>
      </c>
      <c r="Y46">
        <v>4</v>
      </c>
      <c r="Z46">
        <v>1</v>
      </c>
      <c r="AA46">
        <v>0</v>
      </c>
      <c r="AB46">
        <v>10</v>
      </c>
      <c r="AC46">
        <v>4</v>
      </c>
      <c r="AD46">
        <v>3</v>
      </c>
      <c r="AE46">
        <v>2</v>
      </c>
      <c r="AF46">
        <v>0</v>
      </c>
      <c r="AG46">
        <v>1</v>
      </c>
      <c r="AH46">
        <v>0</v>
      </c>
    </row>
    <row r="47" spans="1:34" x14ac:dyDescent="0.35">
      <c r="A47" t="s">
        <v>107</v>
      </c>
      <c r="B47">
        <v>28</v>
      </c>
      <c r="C47" t="str">
        <f t="shared" si="0"/>
        <v>25-34</v>
      </c>
      <c r="D47" t="s">
        <v>35</v>
      </c>
      <c r="E47" t="s">
        <v>36</v>
      </c>
      <c r="F47" t="s">
        <v>54</v>
      </c>
      <c r="G47">
        <v>848</v>
      </c>
      <c r="H47" t="s">
        <v>46</v>
      </c>
      <c r="I47">
        <v>2</v>
      </c>
      <c r="J47">
        <v>4</v>
      </c>
      <c r="K47" t="s">
        <v>64</v>
      </c>
      <c r="L47">
        <v>3</v>
      </c>
      <c r="M47" t="s">
        <v>51</v>
      </c>
      <c r="N47">
        <v>95</v>
      </c>
      <c r="O47">
        <v>3</v>
      </c>
      <c r="P47">
        <v>2</v>
      </c>
      <c r="Q47" t="s">
        <v>48</v>
      </c>
      <c r="R47">
        <v>4</v>
      </c>
      <c r="S47" t="s">
        <v>42</v>
      </c>
      <c r="T47">
        <v>5813</v>
      </c>
      <c r="U47">
        <v>20792</v>
      </c>
      <c r="V47">
        <v>3</v>
      </c>
      <c r="W47" t="s">
        <v>43</v>
      </c>
      <c r="X47">
        <v>13</v>
      </c>
      <c r="Y47">
        <v>3</v>
      </c>
      <c r="Z47">
        <v>3</v>
      </c>
      <c r="AA47">
        <v>0</v>
      </c>
      <c r="AB47">
        <v>5</v>
      </c>
      <c r="AC47">
        <v>4</v>
      </c>
      <c r="AD47">
        <v>4</v>
      </c>
      <c r="AE47">
        <v>5</v>
      </c>
      <c r="AF47">
        <v>0</v>
      </c>
      <c r="AG47">
        <v>0</v>
      </c>
      <c r="AH47">
        <v>4</v>
      </c>
    </row>
    <row r="48" spans="1:34" x14ac:dyDescent="0.35">
      <c r="A48" t="s">
        <v>108</v>
      </c>
      <c r="B48">
        <v>45</v>
      </c>
      <c r="C48" t="str">
        <f t="shared" si="0"/>
        <v>45-54</v>
      </c>
      <c r="D48" t="s">
        <v>35</v>
      </c>
      <c r="E48" t="s">
        <v>36</v>
      </c>
      <c r="F48" t="s">
        <v>54</v>
      </c>
      <c r="G48">
        <v>921</v>
      </c>
      <c r="H48" t="s">
        <v>46</v>
      </c>
      <c r="I48">
        <v>1</v>
      </c>
      <c r="J48">
        <v>3</v>
      </c>
      <c r="K48" t="s">
        <v>103</v>
      </c>
      <c r="L48">
        <v>2</v>
      </c>
      <c r="M48" t="s">
        <v>51</v>
      </c>
      <c r="N48">
        <v>81</v>
      </c>
      <c r="O48">
        <v>3</v>
      </c>
      <c r="P48">
        <v>2</v>
      </c>
      <c r="Q48" t="s">
        <v>65</v>
      </c>
      <c r="R48">
        <v>1</v>
      </c>
      <c r="S48" t="s">
        <v>56</v>
      </c>
      <c r="T48">
        <v>9908</v>
      </c>
      <c r="U48">
        <v>13138</v>
      </c>
      <c r="V48">
        <v>4</v>
      </c>
      <c r="W48" t="s">
        <v>35</v>
      </c>
      <c r="X48">
        <v>13</v>
      </c>
      <c r="Y48">
        <v>3</v>
      </c>
      <c r="Z48">
        <v>4</v>
      </c>
      <c r="AA48">
        <v>3</v>
      </c>
      <c r="AB48">
        <v>22</v>
      </c>
      <c r="AC48">
        <v>3</v>
      </c>
      <c r="AD48">
        <v>2</v>
      </c>
      <c r="AE48">
        <v>3</v>
      </c>
      <c r="AF48">
        <v>0</v>
      </c>
      <c r="AG48">
        <v>2</v>
      </c>
      <c r="AH48">
        <v>1</v>
      </c>
    </row>
    <row r="49" spans="1:34" x14ac:dyDescent="0.35">
      <c r="A49" t="s">
        <v>109</v>
      </c>
      <c r="B49">
        <v>22</v>
      </c>
      <c r="C49" t="str">
        <f t="shared" si="0"/>
        <v>under 25</v>
      </c>
      <c r="D49" t="s">
        <v>35</v>
      </c>
      <c r="E49" t="s">
        <v>36</v>
      </c>
      <c r="F49" t="s">
        <v>37</v>
      </c>
      <c r="G49">
        <v>499</v>
      </c>
      <c r="H49" t="s">
        <v>46</v>
      </c>
      <c r="I49">
        <v>5</v>
      </c>
      <c r="J49">
        <v>2</v>
      </c>
      <c r="K49" t="s">
        <v>47</v>
      </c>
      <c r="L49">
        <v>1</v>
      </c>
      <c r="M49" t="s">
        <v>40</v>
      </c>
      <c r="N49">
        <v>33</v>
      </c>
      <c r="O49">
        <v>3</v>
      </c>
      <c r="P49">
        <v>1</v>
      </c>
      <c r="Q49" t="s">
        <v>48</v>
      </c>
      <c r="R49">
        <v>4</v>
      </c>
      <c r="S49" t="s">
        <v>49</v>
      </c>
      <c r="T49">
        <v>3297</v>
      </c>
      <c r="U49">
        <v>16083</v>
      </c>
      <c r="V49">
        <v>1</v>
      </c>
      <c r="W49" t="s">
        <v>35</v>
      </c>
      <c r="X49">
        <v>13</v>
      </c>
      <c r="Y49">
        <v>3</v>
      </c>
      <c r="Z49">
        <v>3</v>
      </c>
      <c r="AA49">
        <v>3</v>
      </c>
      <c r="AB49">
        <v>2</v>
      </c>
      <c r="AC49">
        <v>4</v>
      </c>
      <c r="AD49">
        <v>2</v>
      </c>
      <c r="AE49">
        <v>2</v>
      </c>
      <c r="AF49">
        <v>2</v>
      </c>
      <c r="AG49">
        <v>0</v>
      </c>
      <c r="AH49">
        <v>1</v>
      </c>
    </row>
    <row r="50" spans="1:34" x14ac:dyDescent="0.35">
      <c r="A50" t="s">
        <v>110</v>
      </c>
      <c r="B50">
        <v>36</v>
      </c>
      <c r="C50" t="str">
        <f t="shared" si="0"/>
        <v>35-44</v>
      </c>
      <c r="D50" t="s">
        <v>35</v>
      </c>
      <c r="E50" t="s">
        <v>36</v>
      </c>
      <c r="F50" t="s">
        <v>37</v>
      </c>
      <c r="G50">
        <v>282</v>
      </c>
      <c r="H50" t="s">
        <v>38</v>
      </c>
      <c r="I50">
        <v>1</v>
      </c>
      <c r="J50">
        <v>4</v>
      </c>
      <c r="K50" t="s">
        <v>47</v>
      </c>
      <c r="L50">
        <v>3</v>
      </c>
      <c r="M50" t="s">
        <v>40</v>
      </c>
      <c r="N50">
        <v>55</v>
      </c>
      <c r="O50">
        <v>3</v>
      </c>
      <c r="P50">
        <v>1</v>
      </c>
      <c r="Q50" t="s">
        <v>48</v>
      </c>
      <c r="R50">
        <v>4</v>
      </c>
      <c r="S50" t="s">
        <v>42</v>
      </c>
      <c r="T50">
        <v>6111</v>
      </c>
      <c r="U50">
        <v>12749</v>
      </c>
      <c r="V50">
        <v>4</v>
      </c>
      <c r="W50" t="s">
        <v>35</v>
      </c>
      <c r="X50">
        <v>14</v>
      </c>
      <c r="Y50">
        <v>3</v>
      </c>
      <c r="Z50">
        <v>4</v>
      </c>
      <c r="AA50">
        <v>0</v>
      </c>
      <c r="AB50">
        <v>13</v>
      </c>
      <c r="AC50">
        <v>3</v>
      </c>
      <c r="AD50">
        <v>4</v>
      </c>
      <c r="AE50">
        <v>4</v>
      </c>
      <c r="AF50">
        <v>0</v>
      </c>
      <c r="AG50">
        <v>0</v>
      </c>
      <c r="AH50">
        <v>0</v>
      </c>
    </row>
    <row r="51" spans="1:34" x14ac:dyDescent="0.35">
      <c r="A51" t="s">
        <v>111</v>
      </c>
      <c r="B51">
        <v>36</v>
      </c>
      <c r="C51" t="str">
        <f t="shared" si="0"/>
        <v>35-44</v>
      </c>
      <c r="D51" t="s">
        <v>35</v>
      </c>
      <c r="E51" t="s">
        <v>36</v>
      </c>
      <c r="F51" t="s">
        <v>54</v>
      </c>
      <c r="G51">
        <v>507</v>
      </c>
      <c r="H51" t="s">
        <v>38</v>
      </c>
      <c r="I51">
        <v>7</v>
      </c>
      <c r="J51">
        <v>3</v>
      </c>
      <c r="K51" t="s">
        <v>47</v>
      </c>
      <c r="L51">
        <v>3</v>
      </c>
      <c r="M51" t="s">
        <v>51</v>
      </c>
      <c r="N51">
        <v>53</v>
      </c>
      <c r="O51">
        <v>3</v>
      </c>
      <c r="P51">
        <v>1</v>
      </c>
      <c r="Q51" t="s">
        <v>41</v>
      </c>
      <c r="R51">
        <v>1</v>
      </c>
      <c r="S51" t="s">
        <v>49</v>
      </c>
      <c r="T51">
        <v>4896</v>
      </c>
      <c r="U51">
        <v>13280</v>
      </c>
      <c r="V51">
        <v>2</v>
      </c>
      <c r="W51" t="s">
        <v>35</v>
      </c>
      <c r="X51">
        <v>15</v>
      </c>
      <c r="Y51">
        <v>3</v>
      </c>
      <c r="Z51">
        <v>1</v>
      </c>
      <c r="AA51">
        <v>3</v>
      </c>
      <c r="AB51">
        <v>15</v>
      </c>
      <c r="AC51">
        <v>3</v>
      </c>
      <c r="AD51">
        <v>2</v>
      </c>
      <c r="AE51">
        <v>0</v>
      </c>
      <c r="AF51">
        <v>0</v>
      </c>
      <c r="AG51">
        <v>0</v>
      </c>
      <c r="AH51">
        <v>0</v>
      </c>
    </row>
    <row r="52" spans="1:34" x14ac:dyDescent="0.35">
      <c r="A52" t="s">
        <v>112</v>
      </c>
      <c r="B52">
        <v>30</v>
      </c>
      <c r="C52" t="str">
        <f t="shared" si="0"/>
        <v>25-34</v>
      </c>
      <c r="D52" t="s">
        <v>35</v>
      </c>
      <c r="E52" t="s">
        <v>36</v>
      </c>
      <c r="F52" t="s">
        <v>37</v>
      </c>
      <c r="G52">
        <v>259</v>
      </c>
      <c r="H52" t="s">
        <v>46</v>
      </c>
      <c r="I52">
        <v>2</v>
      </c>
      <c r="J52">
        <v>2</v>
      </c>
      <c r="K52" t="s">
        <v>69</v>
      </c>
      <c r="L52">
        <v>3</v>
      </c>
      <c r="M52" t="s">
        <v>51</v>
      </c>
      <c r="N52">
        <v>45</v>
      </c>
      <c r="O52">
        <v>3</v>
      </c>
      <c r="P52">
        <v>1</v>
      </c>
      <c r="Q52" t="s">
        <v>80</v>
      </c>
      <c r="R52">
        <v>1</v>
      </c>
      <c r="S52" t="s">
        <v>49</v>
      </c>
      <c r="T52">
        <v>4621</v>
      </c>
      <c r="U52">
        <v>11503</v>
      </c>
      <c r="V52">
        <v>1</v>
      </c>
      <c r="W52" t="s">
        <v>43</v>
      </c>
      <c r="X52">
        <v>11</v>
      </c>
      <c r="Y52">
        <v>3</v>
      </c>
      <c r="Z52">
        <v>2</v>
      </c>
      <c r="AA52">
        <v>1</v>
      </c>
      <c r="AB52">
        <v>9</v>
      </c>
      <c r="AC52">
        <v>1</v>
      </c>
      <c r="AD52">
        <v>3</v>
      </c>
      <c r="AE52">
        <v>0</v>
      </c>
      <c r="AF52">
        <v>0</v>
      </c>
      <c r="AG52">
        <v>0</v>
      </c>
      <c r="AH52">
        <v>0</v>
      </c>
    </row>
    <row r="53" spans="1:34" x14ac:dyDescent="0.35">
      <c r="A53" t="s">
        <v>113</v>
      </c>
      <c r="B53">
        <v>34</v>
      </c>
      <c r="C53" t="str">
        <f t="shared" si="0"/>
        <v>25-34</v>
      </c>
      <c r="D53" t="s">
        <v>35</v>
      </c>
      <c r="E53" t="s">
        <v>36</v>
      </c>
      <c r="F53" t="s">
        <v>37</v>
      </c>
      <c r="G53">
        <v>959</v>
      </c>
      <c r="H53" t="s">
        <v>38</v>
      </c>
      <c r="I53">
        <v>2</v>
      </c>
      <c r="J53">
        <v>4</v>
      </c>
      <c r="K53" t="s">
        <v>64</v>
      </c>
      <c r="L53">
        <v>4</v>
      </c>
      <c r="M53" t="s">
        <v>51</v>
      </c>
      <c r="N53">
        <v>58</v>
      </c>
      <c r="O53">
        <v>3</v>
      </c>
      <c r="P53">
        <v>1</v>
      </c>
      <c r="Q53" t="s">
        <v>55</v>
      </c>
      <c r="R53">
        <v>4</v>
      </c>
      <c r="S53" t="s">
        <v>49</v>
      </c>
      <c r="T53">
        <v>4099</v>
      </c>
      <c r="U53">
        <v>18140</v>
      </c>
      <c r="V53">
        <v>3</v>
      </c>
      <c r="W53" t="s">
        <v>35</v>
      </c>
      <c r="X53">
        <v>18</v>
      </c>
      <c r="Y53">
        <v>3</v>
      </c>
      <c r="Z53">
        <v>3</v>
      </c>
      <c r="AA53">
        <v>0</v>
      </c>
      <c r="AB53">
        <v>11</v>
      </c>
      <c r="AC53">
        <v>3</v>
      </c>
      <c r="AD53">
        <v>3</v>
      </c>
      <c r="AE53">
        <v>4</v>
      </c>
      <c r="AF53">
        <v>3</v>
      </c>
      <c r="AG53">
        <v>0</v>
      </c>
      <c r="AH53">
        <v>4</v>
      </c>
    </row>
    <row r="54" spans="1:34" x14ac:dyDescent="0.35">
      <c r="A54" t="s">
        <v>114</v>
      </c>
      <c r="B54">
        <v>35</v>
      </c>
      <c r="C54" t="str">
        <f t="shared" si="0"/>
        <v>35-44</v>
      </c>
      <c r="D54" t="s">
        <v>35</v>
      </c>
      <c r="E54" t="s">
        <v>36</v>
      </c>
      <c r="F54" t="s">
        <v>54</v>
      </c>
      <c r="G54">
        <v>413</v>
      </c>
      <c r="H54" t="s">
        <v>38</v>
      </c>
      <c r="I54">
        <v>17</v>
      </c>
      <c r="J54">
        <v>4</v>
      </c>
      <c r="K54" t="s">
        <v>39</v>
      </c>
      <c r="L54">
        <v>2</v>
      </c>
      <c r="M54" t="s">
        <v>40</v>
      </c>
      <c r="N54">
        <v>83</v>
      </c>
      <c r="O54">
        <v>3</v>
      </c>
      <c r="P54">
        <v>1</v>
      </c>
      <c r="Q54" t="s">
        <v>55</v>
      </c>
      <c r="R54">
        <v>4</v>
      </c>
      <c r="S54" t="s">
        <v>49</v>
      </c>
      <c r="T54">
        <v>6302</v>
      </c>
      <c r="U54">
        <v>5083</v>
      </c>
      <c r="V54">
        <v>5</v>
      </c>
      <c r="W54" t="s">
        <v>35</v>
      </c>
      <c r="X54">
        <v>15</v>
      </c>
      <c r="Y54">
        <v>3</v>
      </c>
      <c r="Z54">
        <v>4</v>
      </c>
      <c r="AA54">
        <v>1</v>
      </c>
      <c r="AB54">
        <v>15</v>
      </c>
      <c r="AC54">
        <v>3</v>
      </c>
      <c r="AD54">
        <v>3</v>
      </c>
      <c r="AE54">
        <v>1</v>
      </c>
      <c r="AF54">
        <v>0</v>
      </c>
      <c r="AG54">
        <v>1</v>
      </c>
      <c r="AH54">
        <v>1</v>
      </c>
    </row>
    <row r="55" spans="1:34" x14ac:dyDescent="0.35">
      <c r="A55" t="s">
        <v>115</v>
      </c>
      <c r="B55">
        <v>52</v>
      </c>
      <c r="C55" t="str">
        <f t="shared" si="0"/>
        <v>45-54</v>
      </c>
      <c r="D55" t="s">
        <v>35</v>
      </c>
      <c r="E55" t="s">
        <v>36</v>
      </c>
      <c r="F55" t="s">
        <v>37</v>
      </c>
      <c r="G55">
        <v>310</v>
      </c>
      <c r="H55" t="s">
        <v>38</v>
      </c>
      <c r="I55">
        <v>1</v>
      </c>
      <c r="J55">
        <v>4</v>
      </c>
      <c r="K55" t="s">
        <v>69</v>
      </c>
      <c r="L55">
        <v>3</v>
      </c>
      <c r="M55" t="s">
        <v>40</v>
      </c>
      <c r="N55">
        <v>51</v>
      </c>
      <c r="O55">
        <v>3</v>
      </c>
      <c r="P55">
        <v>2</v>
      </c>
      <c r="Q55" t="s">
        <v>41</v>
      </c>
      <c r="R55">
        <v>1</v>
      </c>
      <c r="S55" t="s">
        <v>49</v>
      </c>
      <c r="T55">
        <v>8253</v>
      </c>
      <c r="U55">
        <v>19047</v>
      </c>
      <c r="V55">
        <v>5</v>
      </c>
      <c r="W55" t="s">
        <v>35</v>
      </c>
      <c r="X55">
        <v>19</v>
      </c>
      <c r="Y55">
        <v>3</v>
      </c>
      <c r="Z55">
        <v>2</v>
      </c>
      <c r="AA55">
        <v>0</v>
      </c>
      <c r="AB55">
        <v>28</v>
      </c>
      <c r="AC55">
        <v>5</v>
      </c>
      <c r="AD55">
        <v>3</v>
      </c>
      <c r="AE55">
        <v>5</v>
      </c>
      <c r="AF55">
        <v>1</v>
      </c>
      <c r="AG55">
        <v>2</v>
      </c>
      <c r="AH55">
        <v>0</v>
      </c>
    </row>
    <row r="56" spans="1:34" x14ac:dyDescent="0.35">
      <c r="A56" t="s">
        <v>116</v>
      </c>
      <c r="B56">
        <v>47</v>
      </c>
      <c r="C56" t="str">
        <f t="shared" si="0"/>
        <v>45-54</v>
      </c>
      <c r="D56" t="s">
        <v>35</v>
      </c>
      <c r="E56" t="s">
        <v>36</v>
      </c>
      <c r="F56" t="s">
        <v>54</v>
      </c>
      <c r="G56">
        <v>662</v>
      </c>
      <c r="H56" t="s">
        <v>38</v>
      </c>
      <c r="I56">
        <v>6</v>
      </c>
      <c r="J56">
        <v>3</v>
      </c>
      <c r="K56" t="s">
        <v>69</v>
      </c>
      <c r="L56">
        <v>3</v>
      </c>
      <c r="M56" t="s">
        <v>40</v>
      </c>
      <c r="N56">
        <v>48</v>
      </c>
      <c r="O56">
        <v>1</v>
      </c>
      <c r="P56">
        <v>2</v>
      </c>
      <c r="Q56" t="s">
        <v>52</v>
      </c>
      <c r="R56">
        <v>4</v>
      </c>
      <c r="S56" t="s">
        <v>49</v>
      </c>
      <c r="T56">
        <v>7595</v>
      </c>
      <c r="U56">
        <v>19833</v>
      </c>
      <c r="V56">
        <v>0</v>
      </c>
      <c r="W56" t="s">
        <v>35</v>
      </c>
      <c r="X56">
        <v>17</v>
      </c>
      <c r="Y56">
        <v>3</v>
      </c>
      <c r="Z56">
        <v>4</v>
      </c>
      <c r="AA56">
        <v>2</v>
      </c>
      <c r="AB56">
        <v>26</v>
      </c>
      <c r="AC56">
        <v>2</v>
      </c>
      <c r="AD56">
        <v>3</v>
      </c>
      <c r="AE56">
        <v>5</v>
      </c>
      <c r="AF56">
        <v>0</v>
      </c>
      <c r="AG56">
        <v>0</v>
      </c>
      <c r="AH56">
        <v>1</v>
      </c>
    </row>
    <row r="57" spans="1:34" x14ac:dyDescent="0.35">
      <c r="A57" t="s">
        <v>117</v>
      </c>
      <c r="B57">
        <v>34</v>
      </c>
      <c r="C57" t="str">
        <f t="shared" si="0"/>
        <v>25-34</v>
      </c>
      <c r="D57" t="s">
        <v>35</v>
      </c>
      <c r="E57" t="s">
        <v>36</v>
      </c>
      <c r="F57" t="s">
        <v>37</v>
      </c>
      <c r="G57">
        <v>295</v>
      </c>
      <c r="H57" t="s">
        <v>38</v>
      </c>
      <c r="I57">
        <v>1</v>
      </c>
      <c r="J57">
        <v>2</v>
      </c>
      <c r="K57" t="s">
        <v>69</v>
      </c>
      <c r="L57">
        <v>3</v>
      </c>
      <c r="M57" t="s">
        <v>51</v>
      </c>
      <c r="N57">
        <v>79</v>
      </c>
      <c r="O57">
        <v>3</v>
      </c>
      <c r="P57">
        <v>1</v>
      </c>
      <c r="Q57" t="s">
        <v>55</v>
      </c>
      <c r="R57">
        <v>1</v>
      </c>
      <c r="S57" t="s">
        <v>49</v>
      </c>
      <c r="T57">
        <v>5697</v>
      </c>
      <c r="U57">
        <v>6000</v>
      </c>
      <c r="V57">
        <v>4</v>
      </c>
      <c r="W57" t="s">
        <v>35</v>
      </c>
      <c r="X57">
        <v>22</v>
      </c>
      <c r="Y57">
        <v>3</v>
      </c>
      <c r="Z57">
        <v>4</v>
      </c>
      <c r="AA57">
        <v>2</v>
      </c>
      <c r="AB57">
        <v>10</v>
      </c>
      <c r="AC57">
        <v>1</v>
      </c>
      <c r="AD57">
        <v>3</v>
      </c>
      <c r="AE57">
        <v>0</v>
      </c>
      <c r="AF57">
        <v>0</v>
      </c>
      <c r="AG57">
        <v>0</v>
      </c>
      <c r="AH57">
        <v>0</v>
      </c>
    </row>
    <row r="58" spans="1:34" x14ac:dyDescent="0.35">
      <c r="A58" t="s">
        <v>118</v>
      </c>
      <c r="B58">
        <v>41</v>
      </c>
      <c r="C58" t="str">
        <f t="shared" si="0"/>
        <v>35-44</v>
      </c>
      <c r="D58" t="s">
        <v>35</v>
      </c>
      <c r="E58" t="s">
        <v>36</v>
      </c>
      <c r="F58" t="s">
        <v>37</v>
      </c>
      <c r="G58">
        <v>522</v>
      </c>
      <c r="H58" t="s">
        <v>38</v>
      </c>
      <c r="I58">
        <v>27</v>
      </c>
      <c r="J58">
        <v>4</v>
      </c>
      <c r="K58" t="s">
        <v>69</v>
      </c>
      <c r="L58">
        <v>2</v>
      </c>
      <c r="M58" t="s">
        <v>40</v>
      </c>
      <c r="N58">
        <v>78</v>
      </c>
      <c r="O58">
        <v>3</v>
      </c>
      <c r="P58">
        <v>1</v>
      </c>
      <c r="Q58" t="s">
        <v>41</v>
      </c>
      <c r="R58">
        <v>1</v>
      </c>
      <c r="S58" t="s">
        <v>49</v>
      </c>
      <c r="T58">
        <v>6325</v>
      </c>
      <c r="U58">
        <v>23008</v>
      </c>
      <c r="V58">
        <v>1</v>
      </c>
      <c r="W58" t="s">
        <v>35</v>
      </c>
      <c r="X58">
        <v>11</v>
      </c>
      <c r="Y58">
        <v>3</v>
      </c>
      <c r="Z58">
        <v>4</v>
      </c>
      <c r="AA58">
        <v>1</v>
      </c>
      <c r="AB58">
        <v>17</v>
      </c>
      <c r="AC58">
        <v>3</v>
      </c>
      <c r="AD58">
        <v>3</v>
      </c>
      <c r="AE58">
        <v>1</v>
      </c>
      <c r="AF58">
        <v>0</v>
      </c>
      <c r="AG58">
        <v>1</v>
      </c>
      <c r="AH58">
        <v>1</v>
      </c>
    </row>
    <row r="59" spans="1:34" x14ac:dyDescent="0.35">
      <c r="A59" t="s">
        <v>119</v>
      </c>
      <c r="B59">
        <v>18</v>
      </c>
      <c r="C59" t="str">
        <f t="shared" si="0"/>
        <v>under 25</v>
      </c>
      <c r="D59" t="s">
        <v>43</v>
      </c>
      <c r="E59" t="s">
        <v>45</v>
      </c>
      <c r="F59" t="s">
        <v>54</v>
      </c>
      <c r="G59">
        <v>326</v>
      </c>
      <c r="H59" t="s">
        <v>46</v>
      </c>
      <c r="I59">
        <v>1</v>
      </c>
      <c r="J59">
        <v>4</v>
      </c>
      <c r="K59" t="s">
        <v>47</v>
      </c>
      <c r="L59">
        <v>2</v>
      </c>
      <c r="M59" t="s">
        <v>51</v>
      </c>
      <c r="N59">
        <v>35</v>
      </c>
      <c r="O59">
        <v>3</v>
      </c>
      <c r="P59">
        <v>1</v>
      </c>
      <c r="Q59" t="s">
        <v>48</v>
      </c>
      <c r="R59">
        <v>1</v>
      </c>
      <c r="S59" t="s">
        <v>49</v>
      </c>
      <c r="T59">
        <v>3114</v>
      </c>
      <c r="U59">
        <v>17795</v>
      </c>
      <c r="V59">
        <v>5</v>
      </c>
      <c r="W59" t="s">
        <v>43</v>
      </c>
      <c r="X59">
        <v>11</v>
      </c>
      <c r="Y59">
        <v>3</v>
      </c>
      <c r="Z59">
        <v>1</v>
      </c>
      <c r="AA59">
        <v>1</v>
      </c>
      <c r="AB59">
        <v>0</v>
      </c>
      <c r="AC59">
        <v>1</v>
      </c>
      <c r="AD59">
        <v>3</v>
      </c>
      <c r="AE59">
        <v>0</v>
      </c>
      <c r="AF59">
        <v>0</v>
      </c>
      <c r="AG59">
        <v>0</v>
      </c>
      <c r="AH59">
        <v>0</v>
      </c>
    </row>
    <row r="60" spans="1:34" x14ac:dyDescent="0.35">
      <c r="A60" t="s">
        <v>120</v>
      </c>
      <c r="B60">
        <v>18</v>
      </c>
      <c r="C60" t="str">
        <f t="shared" si="0"/>
        <v>under 25</v>
      </c>
      <c r="D60" t="s">
        <v>35</v>
      </c>
      <c r="E60" t="s">
        <v>36</v>
      </c>
      <c r="F60" t="s">
        <v>37</v>
      </c>
      <c r="G60">
        <v>1252</v>
      </c>
      <c r="H60" t="s">
        <v>38</v>
      </c>
      <c r="I60">
        <v>18</v>
      </c>
      <c r="J60">
        <v>3</v>
      </c>
      <c r="K60" t="s">
        <v>64</v>
      </c>
      <c r="L60">
        <v>1</v>
      </c>
      <c r="M60" t="s">
        <v>40</v>
      </c>
      <c r="N60">
        <v>92</v>
      </c>
      <c r="O60">
        <v>3</v>
      </c>
      <c r="P60">
        <v>2</v>
      </c>
      <c r="Q60" t="s">
        <v>48</v>
      </c>
      <c r="R60">
        <v>1</v>
      </c>
      <c r="S60" t="s">
        <v>42</v>
      </c>
      <c r="T60">
        <v>4826</v>
      </c>
      <c r="U60">
        <v>12102</v>
      </c>
      <c r="V60">
        <v>4</v>
      </c>
      <c r="W60" t="s">
        <v>35</v>
      </c>
      <c r="X60">
        <v>18</v>
      </c>
      <c r="Y60">
        <v>3</v>
      </c>
      <c r="Z60">
        <v>4</v>
      </c>
      <c r="AA60">
        <v>0</v>
      </c>
      <c r="AB60">
        <v>0</v>
      </c>
      <c r="AC60">
        <v>5</v>
      </c>
      <c r="AD60">
        <v>2</v>
      </c>
      <c r="AE60">
        <v>0</v>
      </c>
      <c r="AF60">
        <v>0</v>
      </c>
      <c r="AG60">
        <v>0</v>
      </c>
      <c r="AH60">
        <v>0</v>
      </c>
    </row>
    <row r="61" spans="1:34" x14ac:dyDescent="0.35">
      <c r="A61" t="s">
        <v>121</v>
      </c>
      <c r="B61">
        <v>39</v>
      </c>
      <c r="C61" t="str">
        <f t="shared" si="0"/>
        <v>35-44</v>
      </c>
      <c r="D61" t="s">
        <v>35</v>
      </c>
      <c r="E61" t="s">
        <v>36</v>
      </c>
      <c r="F61" t="s">
        <v>37</v>
      </c>
      <c r="G61">
        <v>406</v>
      </c>
      <c r="H61" t="s">
        <v>46</v>
      </c>
      <c r="I61">
        <v>2</v>
      </c>
      <c r="J61">
        <v>3</v>
      </c>
      <c r="K61" t="s">
        <v>47</v>
      </c>
      <c r="L61">
        <v>4</v>
      </c>
      <c r="M61" t="s">
        <v>51</v>
      </c>
      <c r="N61">
        <v>76</v>
      </c>
      <c r="O61">
        <v>3</v>
      </c>
      <c r="P61">
        <v>3</v>
      </c>
      <c r="Q61" t="s">
        <v>65</v>
      </c>
      <c r="R61">
        <v>1</v>
      </c>
      <c r="S61" t="s">
        <v>56</v>
      </c>
      <c r="T61">
        <v>9691</v>
      </c>
      <c r="U61">
        <v>7433</v>
      </c>
      <c r="V61">
        <v>1</v>
      </c>
      <c r="W61" t="s">
        <v>43</v>
      </c>
      <c r="X61">
        <v>14</v>
      </c>
      <c r="Y61">
        <v>3</v>
      </c>
      <c r="Z61">
        <v>2</v>
      </c>
      <c r="AA61">
        <v>1</v>
      </c>
      <c r="AB61">
        <v>16</v>
      </c>
      <c r="AC61">
        <v>5</v>
      </c>
      <c r="AD61">
        <v>1</v>
      </c>
      <c r="AE61">
        <v>10</v>
      </c>
      <c r="AF61">
        <v>6</v>
      </c>
      <c r="AG61">
        <v>1</v>
      </c>
      <c r="AH61">
        <v>0</v>
      </c>
    </row>
    <row r="62" spans="1:34" x14ac:dyDescent="0.35">
      <c r="A62" t="s">
        <v>122</v>
      </c>
      <c r="B62">
        <v>34</v>
      </c>
      <c r="C62" t="str">
        <f t="shared" si="0"/>
        <v>25-34</v>
      </c>
      <c r="D62" t="s">
        <v>35</v>
      </c>
      <c r="E62" t="s">
        <v>36</v>
      </c>
      <c r="F62" t="s">
        <v>37</v>
      </c>
      <c r="G62">
        <v>318</v>
      </c>
      <c r="H62" t="s">
        <v>99</v>
      </c>
      <c r="I62">
        <v>11</v>
      </c>
      <c r="J62">
        <v>1</v>
      </c>
      <c r="K62" t="s">
        <v>64</v>
      </c>
      <c r="L62">
        <v>3</v>
      </c>
      <c r="M62" t="s">
        <v>51</v>
      </c>
      <c r="N62">
        <v>52</v>
      </c>
      <c r="O62">
        <v>3</v>
      </c>
      <c r="P62">
        <v>2</v>
      </c>
      <c r="Q62" t="s">
        <v>99</v>
      </c>
      <c r="R62">
        <v>4</v>
      </c>
      <c r="S62" t="s">
        <v>42</v>
      </c>
      <c r="T62">
        <v>7323</v>
      </c>
      <c r="U62">
        <v>22058</v>
      </c>
      <c r="V62">
        <v>1</v>
      </c>
      <c r="W62" t="s">
        <v>43</v>
      </c>
      <c r="X62">
        <v>16</v>
      </c>
      <c r="Y62">
        <v>3</v>
      </c>
      <c r="Z62">
        <v>3</v>
      </c>
      <c r="AA62">
        <v>0</v>
      </c>
      <c r="AB62">
        <v>10</v>
      </c>
      <c r="AC62">
        <v>2</v>
      </c>
      <c r="AD62">
        <v>1</v>
      </c>
      <c r="AE62">
        <v>3</v>
      </c>
      <c r="AF62">
        <v>3</v>
      </c>
      <c r="AG62">
        <v>3</v>
      </c>
      <c r="AH62">
        <v>0</v>
      </c>
    </row>
    <row r="63" spans="1:34" x14ac:dyDescent="0.35">
      <c r="A63" t="s">
        <v>123</v>
      </c>
      <c r="B63">
        <v>44</v>
      </c>
      <c r="C63" t="str">
        <f t="shared" si="0"/>
        <v>35-44</v>
      </c>
      <c r="D63" t="s">
        <v>35</v>
      </c>
      <c r="E63" t="s">
        <v>36</v>
      </c>
      <c r="F63" t="s">
        <v>37</v>
      </c>
      <c r="G63">
        <v>1326</v>
      </c>
      <c r="H63" t="s">
        <v>46</v>
      </c>
      <c r="I63">
        <v>6</v>
      </c>
      <c r="J63">
        <v>3</v>
      </c>
      <c r="K63" t="s">
        <v>69</v>
      </c>
      <c r="L63">
        <v>4</v>
      </c>
      <c r="M63" t="s">
        <v>51</v>
      </c>
      <c r="N63">
        <v>82</v>
      </c>
      <c r="O63">
        <v>3</v>
      </c>
      <c r="P63">
        <v>2</v>
      </c>
      <c r="Q63" t="s">
        <v>80</v>
      </c>
      <c r="R63">
        <v>2</v>
      </c>
      <c r="S63" t="s">
        <v>49</v>
      </c>
      <c r="T63">
        <v>6159</v>
      </c>
      <c r="U63">
        <v>20146</v>
      </c>
      <c r="V63">
        <v>1</v>
      </c>
      <c r="W63" t="s">
        <v>35</v>
      </c>
      <c r="X63">
        <v>16</v>
      </c>
      <c r="Y63">
        <v>4</v>
      </c>
      <c r="Z63">
        <v>2</v>
      </c>
      <c r="AA63">
        <v>0</v>
      </c>
      <c r="AB63">
        <v>22</v>
      </c>
      <c r="AC63">
        <v>2</v>
      </c>
      <c r="AD63">
        <v>4</v>
      </c>
      <c r="AE63">
        <v>6</v>
      </c>
      <c r="AF63">
        <v>1</v>
      </c>
      <c r="AG63">
        <v>0</v>
      </c>
      <c r="AH63">
        <v>0</v>
      </c>
    </row>
    <row r="64" spans="1:34" x14ac:dyDescent="0.35">
      <c r="A64" t="s">
        <v>124</v>
      </c>
      <c r="B64">
        <v>30</v>
      </c>
      <c r="C64" t="str">
        <f t="shared" si="0"/>
        <v>25-34</v>
      </c>
      <c r="D64" t="s">
        <v>35</v>
      </c>
      <c r="E64" t="s">
        <v>36</v>
      </c>
      <c r="F64" t="s">
        <v>37</v>
      </c>
      <c r="G64">
        <v>704</v>
      </c>
      <c r="H64" t="s">
        <v>46</v>
      </c>
      <c r="I64">
        <v>19</v>
      </c>
      <c r="J64">
        <v>1</v>
      </c>
      <c r="K64" t="s">
        <v>69</v>
      </c>
      <c r="L64">
        <v>4</v>
      </c>
      <c r="M64" t="s">
        <v>51</v>
      </c>
      <c r="N64">
        <v>51</v>
      </c>
      <c r="O64">
        <v>3</v>
      </c>
      <c r="P64">
        <v>2</v>
      </c>
      <c r="Q64" t="s">
        <v>48</v>
      </c>
      <c r="R64">
        <v>4</v>
      </c>
      <c r="S64" t="s">
        <v>49</v>
      </c>
      <c r="T64">
        <v>7157</v>
      </c>
      <c r="U64">
        <v>16567</v>
      </c>
      <c r="V64">
        <v>3</v>
      </c>
      <c r="W64" t="s">
        <v>35</v>
      </c>
      <c r="X64">
        <v>15</v>
      </c>
      <c r="Y64">
        <v>3</v>
      </c>
      <c r="Z64">
        <v>2</v>
      </c>
      <c r="AA64">
        <v>2</v>
      </c>
      <c r="AB64">
        <v>8</v>
      </c>
      <c r="AC64">
        <v>4</v>
      </c>
      <c r="AD64">
        <v>2</v>
      </c>
      <c r="AE64">
        <v>6</v>
      </c>
      <c r="AF64">
        <v>5</v>
      </c>
      <c r="AG64">
        <v>4</v>
      </c>
      <c r="AH64">
        <v>2</v>
      </c>
    </row>
    <row r="65" spans="1:34" x14ac:dyDescent="0.35">
      <c r="A65" t="s">
        <v>125</v>
      </c>
      <c r="B65">
        <v>44</v>
      </c>
      <c r="C65" t="str">
        <f t="shared" si="0"/>
        <v>35-44</v>
      </c>
      <c r="D65" t="s">
        <v>35</v>
      </c>
      <c r="E65" t="s">
        <v>36</v>
      </c>
      <c r="F65" t="s">
        <v>37</v>
      </c>
      <c r="G65">
        <v>440</v>
      </c>
      <c r="H65" t="s">
        <v>38</v>
      </c>
      <c r="I65">
        <v>7</v>
      </c>
      <c r="J65">
        <v>3</v>
      </c>
      <c r="K65" t="s">
        <v>47</v>
      </c>
      <c r="L65">
        <v>1</v>
      </c>
      <c r="M65" t="s">
        <v>40</v>
      </c>
      <c r="N65">
        <v>78</v>
      </c>
      <c r="O65">
        <v>3</v>
      </c>
      <c r="P65">
        <v>2</v>
      </c>
      <c r="Q65" t="s">
        <v>48</v>
      </c>
      <c r="R65">
        <v>2</v>
      </c>
      <c r="S65" t="s">
        <v>49</v>
      </c>
      <c r="T65">
        <v>7253</v>
      </c>
      <c r="U65">
        <v>19087</v>
      </c>
      <c r="V65">
        <v>2</v>
      </c>
      <c r="W65" t="s">
        <v>35</v>
      </c>
      <c r="X65">
        <v>17</v>
      </c>
      <c r="Y65">
        <v>3</v>
      </c>
      <c r="Z65">
        <v>3</v>
      </c>
      <c r="AA65">
        <v>1</v>
      </c>
      <c r="AB65">
        <v>22</v>
      </c>
      <c r="AC65">
        <v>3</v>
      </c>
      <c r="AD65">
        <v>3</v>
      </c>
      <c r="AE65">
        <v>3</v>
      </c>
      <c r="AF65">
        <v>1</v>
      </c>
      <c r="AG65">
        <v>1</v>
      </c>
      <c r="AH65">
        <v>2</v>
      </c>
    </row>
    <row r="66" spans="1:34" x14ac:dyDescent="0.35">
      <c r="A66" t="s">
        <v>126</v>
      </c>
      <c r="B66">
        <v>24</v>
      </c>
      <c r="C66" t="str">
        <f t="shared" si="0"/>
        <v>under 25</v>
      </c>
      <c r="D66" t="s">
        <v>35</v>
      </c>
      <c r="E66" t="s">
        <v>36</v>
      </c>
      <c r="F66" t="s">
        <v>54</v>
      </c>
      <c r="G66">
        <v>949</v>
      </c>
      <c r="H66" t="s">
        <v>46</v>
      </c>
      <c r="I66">
        <v>2</v>
      </c>
      <c r="J66">
        <v>3</v>
      </c>
      <c r="K66" t="s">
        <v>103</v>
      </c>
      <c r="L66">
        <v>3</v>
      </c>
      <c r="M66" t="s">
        <v>40</v>
      </c>
      <c r="N66">
        <v>47</v>
      </c>
      <c r="O66">
        <v>3</v>
      </c>
      <c r="P66">
        <v>1</v>
      </c>
      <c r="Q66" t="s">
        <v>65</v>
      </c>
      <c r="R66">
        <v>4</v>
      </c>
      <c r="S66" t="s">
        <v>56</v>
      </c>
      <c r="T66">
        <v>3930</v>
      </c>
      <c r="U66">
        <v>6033</v>
      </c>
      <c r="V66">
        <v>1</v>
      </c>
      <c r="W66" t="s">
        <v>35</v>
      </c>
      <c r="X66">
        <v>12</v>
      </c>
      <c r="Y66">
        <v>3</v>
      </c>
      <c r="Z66">
        <v>3</v>
      </c>
      <c r="AA66">
        <v>1</v>
      </c>
      <c r="AB66">
        <v>0</v>
      </c>
      <c r="AC66">
        <v>2</v>
      </c>
      <c r="AD66">
        <v>3</v>
      </c>
      <c r="AE66">
        <v>0</v>
      </c>
      <c r="AF66">
        <v>0</v>
      </c>
      <c r="AG66">
        <v>0</v>
      </c>
      <c r="AH66">
        <v>0</v>
      </c>
    </row>
    <row r="67" spans="1:34" x14ac:dyDescent="0.35">
      <c r="A67" t="s">
        <v>127</v>
      </c>
      <c r="B67">
        <v>37</v>
      </c>
      <c r="C67" t="str">
        <f t="shared" ref="C67:C130" si="1">IF(B67&lt;=25,"under 25",IF(B67&lt;=34,"25-34",IF(B67&lt;=44,"35-44",IF(B67&lt;=54,"45-54","55+"))))</f>
        <v>35-44</v>
      </c>
      <c r="D67" t="s">
        <v>35</v>
      </c>
      <c r="E67" t="s">
        <v>36</v>
      </c>
      <c r="F67" t="s">
        <v>37</v>
      </c>
      <c r="G67">
        <v>1417</v>
      </c>
      <c r="H67" t="s">
        <v>38</v>
      </c>
      <c r="I67">
        <v>8</v>
      </c>
      <c r="J67">
        <v>2</v>
      </c>
      <c r="K67" t="s">
        <v>39</v>
      </c>
      <c r="L67">
        <v>3</v>
      </c>
      <c r="M67" t="s">
        <v>40</v>
      </c>
      <c r="N67">
        <v>57</v>
      </c>
      <c r="O67">
        <v>3</v>
      </c>
      <c r="P67">
        <v>2</v>
      </c>
      <c r="Q67" t="s">
        <v>62</v>
      </c>
      <c r="R67">
        <v>4</v>
      </c>
      <c r="S67" t="s">
        <v>42</v>
      </c>
      <c r="T67">
        <v>7342</v>
      </c>
      <c r="U67">
        <v>12516</v>
      </c>
      <c r="V67">
        <v>4</v>
      </c>
      <c r="W67" t="s">
        <v>35</v>
      </c>
      <c r="X67">
        <v>11</v>
      </c>
      <c r="Y67">
        <v>3</v>
      </c>
      <c r="Z67">
        <v>4</v>
      </c>
      <c r="AA67">
        <v>1</v>
      </c>
      <c r="AB67">
        <v>20</v>
      </c>
      <c r="AC67">
        <v>3</v>
      </c>
      <c r="AD67">
        <v>3</v>
      </c>
      <c r="AE67">
        <v>8</v>
      </c>
      <c r="AF67">
        <v>2</v>
      </c>
      <c r="AG67">
        <v>3</v>
      </c>
      <c r="AH67">
        <v>8</v>
      </c>
    </row>
    <row r="68" spans="1:34" x14ac:dyDescent="0.35">
      <c r="A68" t="s">
        <v>128</v>
      </c>
      <c r="B68">
        <v>51</v>
      </c>
      <c r="C68" t="str">
        <f t="shared" si="1"/>
        <v>45-54</v>
      </c>
      <c r="D68" t="s">
        <v>35</v>
      </c>
      <c r="E68" t="s">
        <v>36</v>
      </c>
      <c r="F68" t="s">
        <v>37</v>
      </c>
      <c r="G68">
        <v>424</v>
      </c>
      <c r="H68" t="s">
        <v>38</v>
      </c>
      <c r="I68">
        <v>1</v>
      </c>
      <c r="J68">
        <v>3</v>
      </c>
      <c r="K68" t="s">
        <v>39</v>
      </c>
      <c r="L68">
        <v>4</v>
      </c>
      <c r="M68" t="s">
        <v>51</v>
      </c>
      <c r="N68">
        <v>37</v>
      </c>
      <c r="O68">
        <v>2</v>
      </c>
      <c r="P68">
        <v>3</v>
      </c>
      <c r="Q68" t="s">
        <v>60</v>
      </c>
      <c r="R68">
        <v>2</v>
      </c>
      <c r="S68" t="s">
        <v>49</v>
      </c>
      <c r="T68">
        <v>11249</v>
      </c>
      <c r="U68">
        <v>2929</v>
      </c>
      <c r="V68">
        <v>3</v>
      </c>
      <c r="W68" t="s">
        <v>43</v>
      </c>
      <c r="X68">
        <v>11</v>
      </c>
      <c r="Y68">
        <v>3</v>
      </c>
      <c r="Z68">
        <v>4</v>
      </c>
      <c r="AA68">
        <v>2</v>
      </c>
      <c r="AB68">
        <v>30</v>
      </c>
      <c r="AC68">
        <v>2</v>
      </c>
      <c r="AD68">
        <v>3</v>
      </c>
      <c r="AE68">
        <v>13</v>
      </c>
      <c r="AF68">
        <v>1</v>
      </c>
      <c r="AG68">
        <v>0</v>
      </c>
      <c r="AH68">
        <v>0</v>
      </c>
    </row>
    <row r="69" spans="1:34" x14ac:dyDescent="0.35">
      <c r="A69" t="s">
        <v>129</v>
      </c>
      <c r="B69">
        <v>22</v>
      </c>
      <c r="C69" t="str">
        <f t="shared" si="1"/>
        <v>under 25</v>
      </c>
      <c r="D69" t="s">
        <v>35</v>
      </c>
      <c r="E69" t="s">
        <v>36</v>
      </c>
      <c r="F69" t="s">
        <v>37</v>
      </c>
      <c r="G69">
        <v>773</v>
      </c>
      <c r="H69" t="s">
        <v>38</v>
      </c>
      <c r="I69">
        <v>3</v>
      </c>
      <c r="J69">
        <v>4</v>
      </c>
      <c r="K69" t="s">
        <v>69</v>
      </c>
      <c r="L69">
        <v>3</v>
      </c>
      <c r="M69" t="s">
        <v>40</v>
      </c>
      <c r="N69">
        <v>82</v>
      </c>
      <c r="O69">
        <v>2</v>
      </c>
      <c r="P69">
        <v>1</v>
      </c>
      <c r="Q69" t="s">
        <v>62</v>
      </c>
      <c r="R69">
        <v>2</v>
      </c>
      <c r="S69" t="s">
        <v>49</v>
      </c>
      <c r="T69">
        <v>3783</v>
      </c>
      <c r="U69">
        <v>7498</v>
      </c>
      <c r="V69">
        <v>1</v>
      </c>
      <c r="W69" t="s">
        <v>35</v>
      </c>
      <c r="X69">
        <v>16</v>
      </c>
      <c r="Y69">
        <v>3</v>
      </c>
      <c r="Z69">
        <v>4</v>
      </c>
      <c r="AA69">
        <v>2</v>
      </c>
      <c r="AB69">
        <v>0</v>
      </c>
      <c r="AC69">
        <v>3</v>
      </c>
      <c r="AD69">
        <v>3</v>
      </c>
      <c r="AE69">
        <v>0</v>
      </c>
      <c r="AF69">
        <v>0</v>
      </c>
      <c r="AG69">
        <v>0</v>
      </c>
      <c r="AH69">
        <v>0</v>
      </c>
    </row>
    <row r="70" spans="1:34" x14ac:dyDescent="0.35">
      <c r="A70" t="s">
        <v>130</v>
      </c>
      <c r="B70">
        <v>42</v>
      </c>
      <c r="C70" t="str">
        <f t="shared" si="1"/>
        <v>35-44</v>
      </c>
      <c r="D70" t="s">
        <v>35</v>
      </c>
      <c r="E70" t="s">
        <v>36</v>
      </c>
      <c r="F70" t="s">
        <v>37</v>
      </c>
      <c r="G70">
        <v>494</v>
      </c>
      <c r="H70" t="s">
        <v>46</v>
      </c>
      <c r="I70">
        <v>4</v>
      </c>
      <c r="J70">
        <v>4</v>
      </c>
      <c r="K70" t="s">
        <v>69</v>
      </c>
      <c r="L70">
        <v>3</v>
      </c>
      <c r="M70" t="s">
        <v>51</v>
      </c>
      <c r="N70">
        <v>34</v>
      </c>
      <c r="O70">
        <v>2</v>
      </c>
      <c r="P70">
        <v>2</v>
      </c>
      <c r="Q70" t="s">
        <v>65</v>
      </c>
      <c r="R70">
        <v>4</v>
      </c>
      <c r="S70" t="s">
        <v>42</v>
      </c>
      <c r="T70">
        <v>6819</v>
      </c>
      <c r="U70">
        <v>3207</v>
      </c>
      <c r="V70">
        <v>3</v>
      </c>
      <c r="W70" t="s">
        <v>43</v>
      </c>
      <c r="X70">
        <v>14</v>
      </c>
      <c r="Y70">
        <v>4</v>
      </c>
      <c r="Z70">
        <v>3</v>
      </c>
      <c r="AA70">
        <v>0</v>
      </c>
      <c r="AB70">
        <v>18</v>
      </c>
      <c r="AC70">
        <v>3</v>
      </c>
      <c r="AD70">
        <v>3</v>
      </c>
      <c r="AE70">
        <v>7</v>
      </c>
      <c r="AF70">
        <v>0</v>
      </c>
      <c r="AG70">
        <v>3</v>
      </c>
      <c r="AH70">
        <v>3</v>
      </c>
    </row>
    <row r="71" spans="1:34" x14ac:dyDescent="0.35">
      <c r="A71" t="s">
        <v>131</v>
      </c>
      <c r="B71">
        <v>60</v>
      </c>
      <c r="C71" t="str">
        <f t="shared" si="1"/>
        <v>55+</v>
      </c>
      <c r="D71" t="s">
        <v>43</v>
      </c>
      <c r="E71" t="s">
        <v>45</v>
      </c>
      <c r="F71" t="s">
        <v>37</v>
      </c>
      <c r="G71">
        <v>386</v>
      </c>
      <c r="H71" t="s">
        <v>38</v>
      </c>
      <c r="I71">
        <v>11</v>
      </c>
      <c r="J71">
        <v>4</v>
      </c>
      <c r="K71" t="s">
        <v>64</v>
      </c>
      <c r="L71">
        <v>3</v>
      </c>
      <c r="M71" t="s">
        <v>51</v>
      </c>
      <c r="N71">
        <v>51</v>
      </c>
      <c r="O71">
        <v>4</v>
      </c>
      <c r="P71">
        <v>3</v>
      </c>
      <c r="Q71" t="s">
        <v>62</v>
      </c>
      <c r="R71">
        <v>4</v>
      </c>
      <c r="S71" t="s">
        <v>56</v>
      </c>
      <c r="T71">
        <v>11449</v>
      </c>
      <c r="U71">
        <v>5420</v>
      </c>
      <c r="V71">
        <v>4</v>
      </c>
      <c r="W71" t="s">
        <v>43</v>
      </c>
      <c r="X71">
        <v>11</v>
      </c>
      <c r="Y71">
        <v>3</v>
      </c>
      <c r="Z71">
        <v>4</v>
      </c>
      <c r="AA71">
        <v>0</v>
      </c>
      <c r="AB71">
        <v>37</v>
      </c>
      <c r="AC71">
        <v>5</v>
      </c>
      <c r="AD71">
        <v>2</v>
      </c>
      <c r="AE71">
        <v>5</v>
      </c>
      <c r="AF71">
        <v>5</v>
      </c>
      <c r="AG71">
        <v>0</v>
      </c>
      <c r="AH71">
        <v>0</v>
      </c>
    </row>
    <row r="72" spans="1:34" x14ac:dyDescent="0.35">
      <c r="A72" t="s">
        <v>132</v>
      </c>
      <c r="B72">
        <v>31</v>
      </c>
      <c r="C72" t="str">
        <f t="shared" si="1"/>
        <v>25-34</v>
      </c>
      <c r="D72" t="s">
        <v>35</v>
      </c>
      <c r="E72" t="s">
        <v>36</v>
      </c>
      <c r="F72" t="s">
        <v>37</v>
      </c>
      <c r="G72">
        <v>1413</v>
      </c>
      <c r="H72" t="s">
        <v>46</v>
      </c>
      <c r="I72">
        <v>14</v>
      </c>
      <c r="J72">
        <v>4</v>
      </c>
      <c r="K72" t="s">
        <v>103</v>
      </c>
      <c r="L72">
        <v>4</v>
      </c>
      <c r="M72" t="s">
        <v>51</v>
      </c>
      <c r="N72">
        <v>74</v>
      </c>
      <c r="O72">
        <v>3</v>
      </c>
      <c r="P72">
        <v>2</v>
      </c>
      <c r="Q72" t="s">
        <v>80</v>
      </c>
      <c r="R72">
        <v>4</v>
      </c>
      <c r="S72" t="s">
        <v>49</v>
      </c>
      <c r="T72">
        <v>6551</v>
      </c>
      <c r="U72">
        <v>20514</v>
      </c>
      <c r="V72">
        <v>2</v>
      </c>
      <c r="W72" t="s">
        <v>35</v>
      </c>
      <c r="X72">
        <v>14</v>
      </c>
      <c r="Y72">
        <v>3</v>
      </c>
      <c r="Z72">
        <v>1</v>
      </c>
      <c r="AA72">
        <v>1</v>
      </c>
      <c r="AB72">
        <v>9</v>
      </c>
      <c r="AC72">
        <v>1</v>
      </c>
      <c r="AD72">
        <v>2</v>
      </c>
      <c r="AE72">
        <v>5</v>
      </c>
      <c r="AF72">
        <v>0</v>
      </c>
      <c r="AG72">
        <v>1</v>
      </c>
      <c r="AH72">
        <v>0</v>
      </c>
    </row>
    <row r="73" spans="1:34" x14ac:dyDescent="0.35">
      <c r="A73" t="s">
        <v>133</v>
      </c>
      <c r="B73">
        <v>32</v>
      </c>
      <c r="C73" t="str">
        <f t="shared" si="1"/>
        <v>25-34</v>
      </c>
      <c r="D73" t="s">
        <v>35</v>
      </c>
      <c r="E73" t="s">
        <v>36</v>
      </c>
      <c r="F73" t="s">
        <v>54</v>
      </c>
      <c r="G73">
        <v>1137</v>
      </c>
      <c r="H73" t="s">
        <v>46</v>
      </c>
      <c r="I73">
        <v>1</v>
      </c>
      <c r="J73">
        <v>3</v>
      </c>
      <c r="K73" t="s">
        <v>47</v>
      </c>
      <c r="L73">
        <v>4</v>
      </c>
      <c r="M73" t="s">
        <v>40</v>
      </c>
      <c r="N73">
        <v>79</v>
      </c>
      <c r="O73">
        <v>3</v>
      </c>
      <c r="P73">
        <v>2</v>
      </c>
      <c r="Q73" t="s">
        <v>48</v>
      </c>
      <c r="R73">
        <v>4</v>
      </c>
      <c r="S73" t="s">
        <v>49</v>
      </c>
      <c r="T73">
        <v>8206</v>
      </c>
      <c r="U73">
        <v>8555</v>
      </c>
      <c r="V73">
        <v>3</v>
      </c>
      <c r="W73" t="s">
        <v>35</v>
      </c>
      <c r="X73">
        <v>17</v>
      </c>
      <c r="Y73">
        <v>3</v>
      </c>
      <c r="Z73">
        <v>3</v>
      </c>
      <c r="AA73">
        <v>0</v>
      </c>
      <c r="AB73">
        <v>8</v>
      </c>
      <c r="AC73">
        <v>2</v>
      </c>
      <c r="AD73">
        <v>2</v>
      </c>
      <c r="AE73">
        <v>0</v>
      </c>
      <c r="AF73">
        <v>0</v>
      </c>
      <c r="AG73">
        <v>0</v>
      </c>
      <c r="AH73">
        <v>0</v>
      </c>
    </row>
    <row r="74" spans="1:34" x14ac:dyDescent="0.35">
      <c r="A74" t="s">
        <v>134</v>
      </c>
      <c r="B74">
        <v>43</v>
      </c>
      <c r="C74" t="str">
        <f t="shared" si="1"/>
        <v>35-44</v>
      </c>
      <c r="D74" t="s">
        <v>35</v>
      </c>
      <c r="E74" t="s">
        <v>36</v>
      </c>
      <c r="F74" t="s">
        <v>37</v>
      </c>
      <c r="G74">
        <v>790</v>
      </c>
      <c r="H74" t="s">
        <v>46</v>
      </c>
      <c r="I74">
        <v>3</v>
      </c>
      <c r="J74">
        <v>3</v>
      </c>
      <c r="K74" t="s">
        <v>69</v>
      </c>
      <c r="L74">
        <v>4</v>
      </c>
      <c r="M74" t="s">
        <v>40</v>
      </c>
      <c r="N74">
        <v>66</v>
      </c>
      <c r="O74">
        <v>4</v>
      </c>
      <c r="P74">
        <v>4</v>
      </c>
      <c r="Q74" t="s">
        <v>80</v>
      </c>
      <c r="R74">
        <v>3</v>
      </c>
      <c r="S74" t="s">
        <v>56</v>
      </c>
      <c r="T74">
        <v>9598</v>
      </c>
      <c r="U74">
        <v>12640</v>
      </c>
      <c r="V74">
        <v>2</v>
      </c>
      <c r="W74" t="s">
        <v>35</v>
      </c>
      <c r="X74">
        <v>11</v>
      </c>
      <c r="Y74">
        <v>3</v>
      </c>
      <c r="Z74">
        <v>4</v>
      </c>
      <c r="AA74">
        <v>1</v>
      </c>
      <c r="AB74">
        <v>22</v>
      </c>
      <c r="AC74">
        <v>4</v>
      </c>
      <c r="AD74">
        <v>3</v>
      </c>
      <c r="AE74">
        <v>16</v>
      </c>
      <c r="AF74">
        <v>0</v>
      </c>
      <c r="AG74">
        <v>5</v>
      </c>
      <c r="AH74">
        <v>5</v>
      </c>
    </row>
    <row r="75" spans="1:34" x14ac:dyDescent="0.35">
      <c r="A75" t="s">
        <v>135</v>
      </c>
      <c r="B75">
        <v>33</v>
      </c>
      <c r="C75" t="str">
        <f t="shared" si="1"/>
        <v>25-34</v>
      </c>
      <c r="D75" t="s">
        <v>43</v>
      </c>
      <c r="E75" t="s">
        <v>45</v>
      </c>
      <c r="F75" t="s">
        <v>37</v>
      </c>
      <c r="G75">
        <v>1223</v>
      </c>
      <c r="H75" t="s">
        <v>46</v>
      </c>
      <c r="I75">
        <v>4</v>
      </c>
      <c r="J75">
        <v>3</v>
      </c>
      <c r="K75" t="s">
        <v>69</v>
      </c>
      <c r="L75">
        <v>3</v>
      </c>
      <c r="M75" t="s">
        <v>40</v>
      </c>
      <c r="N75">
        <v>74</v>
      </c>
      <c r="O75">
        <v>2</v>
      </c>
      <c r="P75">
        <v>1</v>
      </c>
      <c r="Q75" t="s">
        <v>48</v>
      </c>
      <c r="R75">
        <v>4</v>
      </c>
      <c r="S75" t="s">
        <v>56</v>
      </c>
      <c r="T75">
        <v>5780</v>
      </c>
      <c r="U75">
        <v>20156</v>
      </c>
      <c r="V75">
        <v>4</v>
      </c>
      <c r="W75" t="s">
        <v>35</v>
      </c>
      <c r="X75">
        <v>14</v>
      </c>
      <c r="Y75">
        <v>3</v>
      </c>
      <c r="Z75">
        <v>2</v>
      </c>
      <c r="AA75">
        <v>0</v>
      </c>
      <c r="AB75">
        <v>11</v>
      </c>
      <c r="AC75">
        <v>3</v>
      </c>
      <c r="AD75">
        <v>3</v>
      </c>
      <c r="AE75">
        <v>1</v>
      </c>
      <c r="AF75">
        <v>1</v>
      </c>
      <c r="AG75">
        <v>0</v>
      </c>
      <c r="AH75">
        <v>0</v>
      </c>
    </row>
    <row r="76" spans="1:34" x14ac:dyDescent="0.35">
      <c r="A76" t="s">
        <v>136</v>
      </c>
      <c r="B76">
        <v>43</v>
      </c>
      <c r="C76" t="str">
        <f t="shared" si="1"/>
        <v>35-44</v>
      </c>
      <c r="D76" t="s">
        <v>35</v>
      </c>
      <c r="E76" t="s">
        <v>36</v>
      </c>
      <c r="F76" t="s">
        <v>37</v>
      </c>
      <c r="G76">
        <v>329</v>
      </c>
      <c r="H76" t="s">
        <v>46</v>
      </c>
      <c r="I76">
        <v>1</v>
      </c>
      <c r="J76">
        <v>1</v>
      </c>
      <c r="K76" t="s">
        <v>103</v>
      </c>
      <c r="L76">
        <v>4</v>
      </c>
      <c r="M76" t="s">
        <v>40</v>
      </c>
      <c r="N76">
        <v>94</v>
      </c>
      <c r="O76">
        <v>3</v>
      </c>
      <c r="P76">
        <v>1</v>
      </c>
      <c r="Q76" t="s">
        <v>65</v>
      </c>
      <c r="R76">
        <v>3</v>
      </c>
      <c r="S76" t="s">
        <v>49</v>
      </c>
      <c r="T76">
        <v>5625</v>
      </c>
      <c r="U76">
        <v>22307</v>
      </c>
      <c r="V76">
        <v>1</v>
      </c>
      <c r="W76" t="s">
        <v>43</v>
      </c>
      <c r="X76">
        <v>16</v>
      </c>
      <c r="Y76">
        <v>3</v>
      </c>
      <c r="Z76">
        <v>1</v>
      </c>
      <c r="AA76">
        <v>1</v>
      </c>
      <c r="AB76">
        <v>19</v>
      </c>
      <c r="AC76">
        <v>1</v>
      </c>
      <c r="AD76">
        <v>3</v>
      </c>
      <c r="AE76">
        <v>3</v>
      </c>
      <c r="AF76">
        <v>2</v>
      </c>
      <c r="AG76">
        <v>1</v>
      </c>
      <c r="AH76">
        <v>2</v>
      </c>
    </row>
    <row r="77" spans="1:34" x14ac:dyDescent="0.35">
      <c r="A77" t="s">
        <v>137</v>
      </c>
      <c r="B77">
        <v>29</v>
      </c>
      <c r="C77" t="str">
        <f t="shared" si="1"/>
        <v>25-34</v>
      </c>
      <c r="D77" t="s">
        <v>35</v>
      </c>
      <c r="E77" t="s">
        <v>36</v>
      </c>
      <c r="F77" t="s">
        <v>37</v>
      </c>
      <c r="G77">
        <v>256</v>
      </c>
      <c r="H77" t="s">
        <v>38</v>
      </c>
      <c r="I77">
        <v>6</v>
      </c>
      <c r="J77">
        <v>3</v>
      </c>
      <c r="K77" t="s">
        <v>47</v>
      </c>
      <c r="L77">
        <v>4</v>
      </c>
      <c r="M77" t="s">
        <v>51</v>
      </c>
      <c r="N77">
        <v>57</v>
      </c>
      <c r="O77">
        <v>4</v>
      </c>
      <c r="P77">
        <v>2</v>
      </c>
      <c r="Q77" t="s">
        <v>52</v>
      </c>
      <c r="R77">
        <v>4</v>
      </c>
      <c r="S77" t="s">
        <v>49</v>
      </c>
      <c r="T77">
        <v>6628</v>
      </c>
      <c r="U77">
        <v>21660</v>
      </c>
      <c r="V77">
        <v>2</v>
      </c>
      <c r="W77" t="s">
        <v>43</v>
      </c>
      <c r="X77">
        <v>16</v>
      </c>
      <c r="Y77">
        <v>4</v>
      </c>
      <c r="Z77">
        <v>4</v>
      </c>
      <c r="AA77">
        <v>1</v>
      </c>
      <c r="AB77">
        <v>8</v>
      </c>
      <c r="AC77">
        <v>1</v>
      </c>
      <c r="AD77">
        <v>3</v>
      </c>
      <c r="AE77">
        <v>8</v>
      </c>
      <c r="AF77">
        <v>3</v>
      </c>
      <c r="AG77">
        <v>1</v>
      </c>
      <c r="AH77">
        <v>5</v>
      </c>
    </row>
    <row r="78" spans="1:34" x14ac:dyDescent="0.35">
      <c r="A78" t="s">
        <v>138</v>
      </c>
      <c r="B78">
        <v>26</v>
      </c>
      <c r="C78" t="str">
        <f t="shared" si="1"/>
        <v>25-34</v>
      </c>
      <c r="D78" t="s">
        <v>43</v>
      </c>
      <c r="E78" t="s">
        <v>45</v>
      </c>
      <c r="F78" t="s">
        <v>59</v>
      </c>
      <c r="G78">
        <v>460</v>
      </c>
      <c r="H78" t="s">
        <v>46</v>
      </c>
      <c r="I78">
        <v>8</v>
      </c>
      <c r="J78">
        <v>2</v>
      </c>
      <c r="K78" t="s">
        <v>47</v>
      </c>
      <c r="L78">
        <v>2</v>
      </c>
      <c r="M78" t="s">
        <v>51</v>
      </c>
      <c r="N78">
        <v>83</v>
      </c>
      <c r="O78">
        <v>3</v>
      </c>
      <c r="P78">
        <v>1</v>
      </c>
      <c r="Q78" t="s">
        <v>48</v>
      </c>
      <c r="R78">
        <v>4</v>
      </c>
      <c r="S78" t="s">
        <v>49</v>
      </c>
      <c r="T78">
        <v>4394</v>
      </c>
      <c r="U78">
        <v>3696</v>
      </c>
      <c r="V78">
        <v>1</v>
      </c>
      <c r="W78" t="s">
        <v>43</v>
      </c>
      <c r="X78">
        <v>15</v>
      </c>
      <c r="Y78">
        <v>3</v>
      </c>
      <c r="Z78">
        <v>3</v>
      </c>
      <c r="AA78">
        <v>3</v>
      </c>
      <c r="AB78">
        <v>2</v>
      </c>
      <c r="AC78">
        <v>3</v>
      </c>
      <c r="AD78">
        <v>3</v>
      </c>
      <c r="AE78">
        <v>2</v>
      </c>
      <c r="AF78">
        <v>2</v>
      </c>
      <c r="AG78">
        <v>0</v>
      </c>
      <c r="AH78">
        <v>2</v>
      </c>
    </row>
    <row r="79" spans="1:34" x14ac:dyDescent="0.35">
      <c r="A79" t="s">
        <v>139</v>
      </c>
      <c r="B79">
        <v>33</v>
      </c>
      <c r="C79" t="str">
        <f t="shared" si="1"/>
        <v>25-34</v>
      </c>
      <c r="D79" t="s">
        <v>35</v>
      </c>
      <c r="E79" t="s">
        <v>36</v>
      </c>
      <c r="F79" t="s">
        <v>59</v>
      </c>
      <c r="G79">
        <v>1370</v>
      </c>
      <c r="H79" t="s">
        <v>38</v>
      </c>
      <c r="I79">
        <v>9</v>
      </c>
      <c r="J79">
        <v>5</v>
      </c>
      <c r="K79" t="s">
        <v>47</v>
      </c>
      <c r="L79">
        <v>4</v>
      </c>
      <c r="M79" t="s">
        <v>51</v>
      </c>
      <c r="N79">
        <v>37</v>
      </c>
      <c r="O79">
        <v>3</v>
      </c>
      <c r="P79">
        <v>3</v>
      </c>
      <c r="Q79" t="s">
        <v>55</v>
      </c>
      <c r="R79">
        <v>4</v>
      </c>
      <c r="S79" t="s">
        <v>42</v>
      </c>
      <c r="T79">
        <v>8923</v>
      </c>
      <c r="U79">
        <v>21596</v>
      </c>
      <c r="V79">
        <v>1</v>
      </c>
      <c r="W79" t="s">
        <v>35</v>
      </c>
      <c r="X79">
        <v>15</v>
      </c>
      <c r="Y79">
        <v>3</v>
      </c>
      <c r="Z79">
        <v>4</v>
      </c>
      <c r="AA79">
        <v>2</v>
      </c>
      <c r="AB79">
        <v>12</v>
      </c>
      <c r="AC79">
        <v>2</v>
      </c>
      <c r="AD79">
        <v>3</v>
      </c>
      <c r="AE79">
        <v>12</v>
      </c>
      <c r="AF79">
        <v>2</v>
      </c>
      <c r="AG79">
        <v>0</v>
      </c>
      <c r="AH79">
        <v>1</v>
      </c>
    </row>
    <row r="80" spans="1:34" x14ac:dyDescent="0.35">
      <c r="A80" t="s">
        <v>140</v>
      </c>
      <c r="B80">
        <v>32</v>
      </c>
      <c r="C80" t="str">
        <f t="shared" si="1"/>
        <v>25-34</v>
      </c>
      <c r="D80" t="s">
        <v>35</v>
      </c>
      <c r="E80" t="s">
        <v>36</v>
      </c>
      <c r="F80" t="s">
        <v>37</v>
      </c>
      <c r="G80">
        <v>817</v>
      </c>
      <c r="H80" t="s">
        <v>38</v>
      </c>
      <c r="I80">
        <v>4</v>
      </c>
      <c r="J80">
        <v>2</v>
      </c>
      <c r="K80" t="s">
        <v>69</v>
      </c>
      <c r="L80">
        <v>4</v>
      </c>
      <c r="M80" t="s">
        <v>40</v>
      </c>
      <c r="N80">
        <v>46</v>
      </c>
      <c r="O80">
        <v>2</v>
      </c>
      <c r="P80">
        <v>3</v>
      </c>
      <c r="Q80" t="s">
        <v>55</v>
      </c>
      <c r="R80">
        <v>4</v>
      </c>
      <c r="S80" t="s">
        <v>56</v>
      </c>
      <c r="T80">
        <v>8273</v>
      </c>
      <c r="U80">
        <v>22753</v>
      </c>
      <c r="V80">
        <v>6</v>
      </c>
      <c r="W80" t="s">
        <v>35</v>
      </c>
      <c r="X80">
        <v>12</v>
      </c>
      <c r="Y80">
        <v>3</v>
      </c>
      <c r="Z80">
        <v>2</v>
      </c>
      <c r="AA80">
        <v>3</v>
      </c>
      <c r="AB80">
        <v>10</v>
      </c>
      <c r="AC80">
        <v>6</v>
      </c>
      <c r="AD80">
        <v>4</v>
      </c>
      <c r="AE80">
        <v>10</v>
      </c>
      <c r="AF80">
        <v>0</v>
      </c>
      <c r="AG80">
        <v>4</v>
      </c>
      <c r="AH80">
        <v>0</v>
      </c>
    </row>
    <row r="81" spans="1:34" x14ac:dyDescent="0.35">
      <c r="A81" t="s">
        <v>141</v>
      </c>
      <c r="B81">
        <v>41</v>
      </c>
      <c r="C81" t="str">
        <f t="shared" si="1"/>
        <v>35-44</v>
      </c>
      <c r="D81" t="s">
        <v>35</v>
      </c>
      <c r="E81" t="s">
        <v>36</v>
      </c>
      <c r="F81" t="s">
        <v>37</v>
      </c>
      <c r="G81">
        <v>1023</v>
      </c>
      <c r="H81" t="s">
        <v>38</v>
      </c>
      <c r="I81">
        <v>23</v>
      </c>
      <c r="J81">
        <v>4</v>
      </c>
      <c r="K81" t="s">
        <v>64</v>
      </c>
      <c r="L81">
        <v>1</v>
      </c>
      <c r="M81" t="s">
        <v>51</v>
      </c>
      <c r="N81">
        <v>97</v>
      </c>
      <c r="O81">
        <v>3</v>
      </c>
      <c r="P81">
        <v>3</v>
      </c>
      <c r="Q81" t="s">
        <v>62</v>
      </c>
      <c r="R81">
        <v>4</v>
      </c>
      <c r="S81" t="s">
        <v>42</v>
      </c>
      <c r="T81">
        <v>10478</v>
      </c>
      <c r="U81">
        <v>18654</v>
      </c>
      <c r="V81">
        <v>2</v>
      </c>
      <c r="W81" t="s">
        <v>35</v>
      </c>
      <c r="X81">
        <v>13</v>
      </c>
      <c r="Y81">
        <v>3</v>
      </c>
      <c r="Z81">
        <v>4</v>
      </c>
      <c r="AA81">
        <v>2</v>
      </c>
      <c r="AB81">
        <v>24</v>
      </c>
      <c r="AC81">
        <v>1</v>
      </c>
      <c r="AD81">
        <v>3</v>
      </c>
      <c r="AE81">
        <v>13</v>
      </c>
      <c r="AF81">
        <v>1</v>
      </c>
      <c r="AG81">
        <v>3</v>
      </c>
      <c r="AH81">
        <v>1</v>
      </c>
    </row>
    <row r="82" spans="1:34" x14ac:dyDescent="0.35">
      <c r="A82" t="s">
        <v>142</v>
      </c>
      <c r="B82">
        <v>43</v>
      </c>
      <c r="C82" t="str">
        <f t="shared" si="1"/>
        <v>35-44</v>
      </c>
      <c r="D82" t="s">
        <v>35</v>
      </c>
      <c r="E82" t="s">
        <v>36</v>
      </c>
      <c r="F82" t="s">
        <v>37</v>
      </c>
      <c r="G82">
        <v>305</v>
      </c>
      <c r="H82" t="s">
        <v>46</v>
      </c>
      <c r="I82">
        <v>2</v>
      </c>
      <c r="J82">
        <v>3</v>
      </c>
      <c r="K82" t="s">
        <v>103</v>
      </c>
      <c r="L82">
        <v>4</v>
      </c>
      <c r="M82" t="s">
        <v>40</v>
      </c>
      <c r="N82">
        <v>86</v>
      </c>
      <c r="O82">
        <v>4</v>
      </c>
      <c r="P82">
        <v>1</v>
      </c>
      <c r="Q82" t="s">
        <v>48</v>
      </c>
      <c r="R82">
        <v>1</v>
      </c>
      <c r="S82" t="s">
        <v>56</v>
      </c>
      <c r="T82">
        <v>6299</v>
      </c>
      <c r="U82">
        <v>22975</v>
      </c>
      <c r="V82">
        <v>4</v>
      </c>
      <c r="W82" t="s">
        <v>43</v>
      </c>
      <c r="X82">
        <v>11</v>
      </c>
      <c r="Y82">
        <v>3</v>
      </c>
      <c r="Z82">
        <v>4</v>
      </c>
      <c r="AA82">
        <v>2</v>
      </c>
      <c r="AB82">
        <v>15</v>
      </c>
      <c r="AC82">
        <v>6</v>
      </c>
      <c r="AD82">
        <v>3</v>
      </c>
      <c r="AE82">
        <v>1</v>
      </c>
      <c r="AF82">
        <v>0</v>
      </c>
      <c r="AG82">
        <v>1</v>
      </c>
      <c r="AH82">
        <v>1</v>
      </c>
    </row>
    <row r="83" spans="1:34" x14ac:dyDescent="0.35">
      <c r="A83" t="s">
        <v>143</v>
      </c>
      <c r="B83">
        <v>45</v>
      </c>
      <c r="C83" t="str">
        <f t="shared" si="1"/>
        <v>45-54</v>
      </c>
      <c r="D83" t="s">
        <v>43</v>
      </c>
      <c r="E83" t="s">
        <v>45</v>
      </c>
      <c r="F83" t="s">
        <v>37</v>
      </c>
      <c r="G83">
        <v>1199</v>
      </c>
      <c r="H83" t="s">
        <v>38</v>
      </c>
      <c r="I83">
        <v>21</v>
      </c>
      <c r="J83">
        <v>3</v>
      </c>
      <c r="K83" t="s">
        <v>39</v>
      </c>
      <c r="L83">
        <v>1</v>
      </c>
      <c r="M83" t="s">
        <v>40</v>
      </c>
      <c r="N83">
        <v>76</v>
      </c>
      <c r="O83">
        <v>3</v>
      </c>
      <c r="P83">
        <v>3</v>
      </c>
      <c r="Q83" t="s">
        <v>55</v>
      </c>
      <c r="R83">
        <v>4</v>
      </c>
      <c r="S83" t="s">
        <v>49</v>
      </c>
      <c r="T83">
        <v>10075</v>
      </c>
      <c r="U83">
        <v>4230</v>
      </c>
      <c r="V83">
        <v>6</v>
      </c>
      <c r="W83" t="s">
        <v>35</v>
      </c>
      <c r="X83">
        <v>17</v>
      </c>
      <c r="Y83">
        <v>4</v>
      </c>
      <c r="Z83">
        <v>1</v>
      </c>
      <c r="AA83">
        <v>1</v>
      </c>
      <c r="AB83">
        <v>24</v>
      </c>
      <c r="AC83">
        <v>3</v>
      </c>
      <c r="AD83">
        <v>3</v>
      </c>
      <c r="AE83">
        <v>10</v>
      </c>
      <c r="AF83">
        <v>3</v>
      </c>
      <c r="AG83">
        <v>2</v>
      </c>
      <c r="AH83">
        <v>1</v>
      </c>
    </row>
    <row r="84" spans="1:34" x14ac:dyDescent="0.35">
      <c r="A84" t="s">
        <v>144</v>
      </c>
      <c r="B84">
        <v>39</v>
      </c>
      <c r="C84" t="str">
        <f t="shared" si="1"/>
        <v>35-44</v>
      </c>
      <c r="D84" t="s">
        <v>35</v>
      </c>
      <c r="E84" t="s">
        <v>36</v>
      </c>
      <c r="F84" t="s">
        <v>37</v>
      </c>
      <c r="G84">
        <v>1114</v>
      </c>
      <c r="H84" t="s">
        <v>38</v>
      </c>
      <c r="I84">
        <v>1</v>
      </c>
      <c r="J84">
        <v>3</v>
      </c>
      <c r="K84" t="s">
        <v>39</v>
      </c>
      <c r="L84">
        <v>3</v>
      </c>
      <c r="M84" t="s">
        <v>40</v>
      </c>
      <c r="N84">
        <v>80</v>
      </c>
      <c r="O84">
        <v>3</v>
      </c>
      <c r="P84">
        <v>4</v>
      </c>
      <c r="Q84" t="s">
        <v>41</v>
      </c>
      <c r="R84">
        <v>2</v>
      </c>
      <c r="S84" t="s">
        <v>49</v>
      </c>
      <c r="T84">
        <v>11483</v>
      </c>
      <c r="U84">
        <v>15521</v>
      </c>
      <c r="V84">
        <v>6</v>
      </c>
      <c r="W84" t="s">
        <v>35</v>
      </c>
      <c r="X84">
        <v>14</v>
      </c>
      <c r="Y84">
        <v>3</v>
      </c>
      <c r="Z84">
        <v>3</v>
      </c>
      <c r="AA84">
        <v>0</v>
      </c>
      <c r="AB84">
        <v>20</v>
      </c>
      <c r="AC84">
        <v>1</v>
      </c>
      <c r="AD84">
        <v>4</v>
      </c>
      <c r="AE84">
        <v>19</v>
      </c>
      <c r="AF84">
        <v>3</v>
      </c>
      <c r="AG84">
        <v>6</v>
      </c>
      <c r="AH84">
        <v>0</v>
      </c>
    </row>
    <row r="85" spans="1:34" x14ac:dyDescent="0.35">
      <c r="A85" t="s">
        <v>145</v>
      </c>
      <c r="B85">
        <v>34</v>
      </c>
      <c r="C85" t="str">
        <f t="shared" si="1"/>
        <v>25-34</v>
      </c>
      <c r="D85" t="s">
        <v>35</v>
      </c>
      <c r="E85" t="s">
        <v>36</v>
      </c>
      <c r="F85" t="s">
        <v>37</v>
      </c>
      <c r="G85">
        <v>780</v>
      </c>
      <c r="H85" t="s">
        <v>46</v>
      </c>
      <c r="I85">
        <v>29</v>
      </c>
      <c r="J85">
        <v>3</v>
      </c>
      <c r="K85" t="s">
        <v>47</v>
      </c>
      <c r="L85">
        <v>2</v>
      </c>
      <c r="M85" t="s">
        <v>51</v>
      </c>
      <c r="N85">
        <v>98</v>
      </c>
      <c r="O85">
        <v>3</v>
      </c>
      <c r="P85">
        <v>2</v>
      </c>
      <c r="Q85" t="s">
        <v>80</v>
      </c>
      <c r="R85">
        <v>3</v>
      </c>
      <c r="S85" t="s">
        <v>42</v>
      </c>
      <c r="T85">
        <v>6899</v>
      </c>
      <c r="U85">
        <v>17441</v>
      </c>
      <c r="V85">
        <v>6</v>
      </c>
      <c r="W85" t="s">
        <v>35</v>
      </c>
      <c r="X85">
        <v>15</v>
      </c>
      <c r="Y85">
        <v>3</v>
      </c>
      <c r="Z85">
        <v>2</v>
      </c>
      <c r="AA85">
        <v>1</v>
      </c>
      <c r="AB85">
        <v>10</v>
      </c>
      <c r="AC85">
        <v>2</v>
      </c>
      <c r="AD85">
        <v>2</v>
      </c>
      <c r="AE85">
        <v>9</v>
      </c>
      <c r="AF85">
        <v>3</v>
      </c>
      <c r="AG85">
        <v>0</v>
      </c>
      <c r="AH85">
        <v>4</v>
      </c>
    </row>
    <row r="86" spans="1:34" x14ac:dyDescent="0.35">
      <c r="A86" t="s">
        <v>146</v>
      </c>
      <c r="B86">
        <v>36</v>
      </c>
      <c r="C86" t="str">
        <f t="shared" si="1"/>
        <v>35-44</v>
      </c>
      <c r="D86" t="s">
        <v>35</v>
      </c>
      <c r="E86" t="s">
        <v>36</v>
      </c>
      <c r="F86" t="s">
        <v>37</v>
      </c>
      <c r="G86">
        <v>967</v>
      </c>
      <c r="H86" t="s">
        <v>46</v>
      </c>
      <c r="I86">
        <v>2</v>
      </c>
      <c r="J86">
        <v>3</v>
      </c>
      <c r="K86" t="s">
        <v>69</v>
      </c>
      <c r="L86">
        <v>3</v>
      </c>
      <c r="M86" t="s">
        <v>40</v>
      </c>
      <c r="N86">
        <v>59</v>
      </c>
      <c r="O86">
        <v>3</v>
      </c>
      <c r="P86">
        <v>1</v>
      </c>
      <c r="Q86" t="s">
        <v>80</v>
      </c>
      <c r="R86">
        <v>4</v>
      </c>
      <c r="S86" t="s">
        <v>49</v>
      </c>
      <c r="T86">
        <v>4936</v>
      </c>
      <c r="U86">
        <v>22504</v>
      </c>
      <c r="V86">
        <v>3</v>
      </c>
      <c r="W86" t="s">
        <v>35</v>
      </c>
      <c r="X86">
        <v>15</v>
      </c>
      <c r="Y86">
        <v>3</v>
      </c>
      <c r="Z86">
        <v>2</v>
      </c>
      <c r="AA86">
        <v>0</v>
      </c>
      <c r="AB86">
        <v>14</v>
      </c>
      <c r="AC86">
        <v>5</v>
      </c>
      <c r="AD86">
        <v>3</v>
      </c>
      <c r="AE86">
        <v>0</v>
      </c>
      <c r="AF86">
        <v>0</v>
      </c>
      <c r="AG86">
        <v>0</v>
      </c>
      <c r="AH86">
        <v>0</v>
      </c>
    </row>
    <row r="87" spans="1:34" x14ac:dyDescent="0.35">
      <c r="A87" t="s">
        <v>147</v>
      </c>
      <c r="B87">
        <v>40</v>
      </c>
      <c r="C87" t="str">
        <f t="shared" si="1"/>
        <v>35-44</v>
      </c>
      <c r="D87" t="s">
        <v>35</v>
      </c>
      <c r="E87" t="s">
        <v>36</v>
      </c>
      <c r="F87" t="s">
        <v>37</v>
      </c>
      <c r="G87">
        <v>1489</v>
      </c>
      <c r="H87" t="s">
        <v>38</v>
      </c>
      <c r="I87">
        <v>2</v>
      </c>
      <c r="J87">
        <v>5</v>
      </c>
      <c r="K87" t="s">
        <v>39</v>
      </c>
      <c r="L87">
        <v>3</v>
      </c>
      <c r="M87" t="s">
        <v>51</v>
      </c>
      <c r="N87">
        <v>98</v>
      </c>
      <c r="O87">
        <v>3</v>
      </c>
      <c r="P87">
        <v>2</v>
      </c>
      <c r="Q87" t="s">
        <v>41</v>
      </c>
      <c r="R87">
        <v>3</v>
      </c>
      <c r="S87" t="s">
        <v>49</v>
      </c>
      <c r="T87">
        <v>7243</v>
      </c>
      <c r="U87">
        <v>20730</v>
      </c>
      <c r="V87">
        <v>2</v>
      </c>
      <c r="W87" t="s">
        <v>35</v>
      </c>
      <c r="X87">
        <v>14</v>
      </c>
      <c r="Y87">
        <v>3</v>
      </c>
      <c r="Z87">
        <v>1</v>
      </c>
      <c r="AA87">
        <v>0</v>
      </c>
      <c r="AB87">
        <v>18</v>
      </c>
      <c r="AC87">
        <v>1</v>
      </c>
      <c r="AD87">
        <v>4</v>
      </c>
      <c r="AE87">
        <v>4</v>
      </c>
      <c r="AF87">
        <v>3</v>
      </c>
      <c r="AG87">
        <v>2</v>
      </c>
      <c r="AH87">
        <v>0</v>
      </c>
    </row>
    <row r="88" spans="1:34" x14ac:dyDescent="0.35">
      <c r="A88" t="s">
        <v>148</v>
      </c>
      <c r="B88">
        <v>41</v>
      </c>
      <c r="C88" t="str">
        <f t="shared" si="1"/>
        <v>35-44</v>
      </c>
      <c r="D88" t="s">
        <v>43</v>
      </c>
      <c r="E88" t="s">
        <v>45</v>
      </c>
      <c r="F88" t="s">
        <v>37</v>
      </c>
      <c r="G88">
        <v>519</v>
      </c>
      <c r="H88" t="s">
        <v>38</v>
      </c>
      <c r="I88">
        <v>3</v>
      </c>
      <c r="J88">
        <v>1</v>
      </c>
      <c r="K88" t="s">
        <v>64</v>
      </c>
      <c r="L88">
        <v>3</v>
      </c>
      <c r="M88" t="s">
        <v>51</v>
      </c>
      <c r="N88">
        <v>66</v>
      </c>
      <c r="O88">
        <v>2</v>
      </c>
      <c r="P88">
        <v>4</v>
      </c>
      <c r="Q88" t="s">
        <v>41</v>
      </c>
      <c r="R88">
        <v>3</v>
      </c>
      <c r="S88" t="s">
        <v>49</v>
      </c>
      <c r="T88">
        <v>10174</v>
      </c>
      <c r="U88">
        <v>16427</v>
      </c>
      <c r="V88">
        <v>5</v>
      </c>
      <c r="W88" t="s">
        <v>35</v>
      </c>
      <c r="X88">
        <v>21</v>
      </c>
      <c r="Y88">
        <v>3</v>
      </c>
      <c r="Z88">
        <v>1</v>
      </c>
      <c r="AA88">
        <v>0</v>
      </c>
      <c r="AB88">
        <v>16</v>
      </c>
      <c r="AC88">
        <v>3</v>
      </c>
      <c r="AD88">
        <v>2</v>
      </c>
      <c r="AE88">
        <v>15</v>
      </c>
      <c r="AF88">
        <v>2</v>
      </c>
      <c r="AG88">
        <v>1</v>
      </c>
      <c r="AH88">
        <v>0</v>
      </c>
    </row>
    <row r="89" spans="1:34" x14ac:dyDescent="0.35">
      <c r="A89" t="s">
        <v>149</v>
      </c>
      <c r="B89">
        <v>37</v>
      </c>
      <c r="C89" t="str">
        <f t="shared" si="1"/>
        <v>35-44</v>
      </c>
      <c r="D89" t="s">
        <v>35</v>
      </c>
      <c r="E89" t="s">
        <v>36</v>
      </c>
      <c r="F89" t="s">
        <v>54</v>
      </c>
      <c r="G89">
        <v>666</v>
      </c>
      <c r="H89" t="s">
        <v>38</v>
      </c>
      <c r="I89">
        <v>14</v>
      </c>
      <c r="J89">
        <v>4</v>
      </c>
      <c r="K89" t="s">
        <v>69</v>
      </c>
      <c r="L89">
        <v>1</v>
      </c>
      <c r="M89" t="s">
        <v>51</v>
      </c>
      <c r="N89">
        <v>34</v>
      </c>
      <c r="O89">
        <v>3</v>
      </c>
      <c r="P89">
        <v>1</v>
      </c>
      <c r="Q89" t="s">
        <v>48</v>
      </c>
      <c r="R89">
        <v>4</v>
      </c>
      <c r="S89" t="s">
        <v>56</v>
      </c>
      <c r="T89">
        <v>4496</v>
      </c>
      <c r="U89">
        <v>8121</v>
      </c>
      <c r="V89">
        <v>2</v>
      </c>
      <c r="W89" t="s">
        <v>35</v>
      </c>
      <c r="X89">
        <v>16</v>
      </c>
      <c r="Y89">
        <v>4</v>
      </c>
      <c r="Z89">
        <v>2</v>
      </c>
      <c r="AA89">
        <v>0</v>
      </c>
      <c r="AB89">
        <v>12</v>
      </c>
      <c r="AC89">
        <v>2</v>
      </c>
      <c r="AD89">
        <v>3</v>
      </c>
      <c r="AE89">
        <v>3</v>
      </c>
      <c r="AF89">
        <v>3</v>
      </c>
      <c r="AG89">
        <v>0</v>
      </c>
      <c r="AH89">
        <v>3</v>
      </c>
    </row>
    <row r="90" spans="1:34" x14ac:dyDescent="0.35">
      <c r="A90" t="s">
        <v>150</v>
      </c>
      <c r="B90">
        <v>18</v>
      </c>
      <c r="C90" t="str">
        <f t="shared" si="1"/>
        <v>under 25</v>
      </c>
      <c r="D90" t="s">
        <v>35</v>
      </c>
      <c r="E90" t="s">
        <v>36</v>
      </c>
      <c r="F90" t="s">
        <v>37</v>
      </c>
      <c r="G90">
        <v>214</v>
      </c>
      <c r="H90" t="s">
        <v>38</v>
      </c>
      <c r="I90">
        <v>10</v>
      </c>
      <c r="J90">
        <v>3</v>
      </c>
      <c r="K90" t="s">
        <v>47</v>
      </c>
      <c r="L90">
        <v>2</v>
      </c>
      <c r="M90" t="s">
        <v>51</v>
      </c>
      <c r="N90">
        <v>65</v>
      </c>
      <c r="O90">
        <v>3</v>
      </c>
      <c r="P90">
        <v>2</v>
      </c>
      <c r="Q90" t="s">
        <v>48</v>
      </c>
      <c r="R90">
        <v>2</v>
      </c>
      <c r="S90" t="s">
        <v>49</v>
      </c>
      <c r="T90">
        <v>5882</v>
      </c>
      <c r="U90">
        <v>15545</v>
      </c>
      <c r="V90">
        <v>3</v>
      </c>
      <c r="W90" t="s">
        <v>35</v>
      </c>
      <c r="X90">
        <v>11</v>
      </c>
      <c r="Y90">
        <v>3</v>
      </c>
      <c r="Z90">
        <v>4</v>
      </c>
      <c r="AA90">
        <v>1</v>
      </c>
      <c r="AB90">
        <v>0</v>
      </c>
      <c r="AC90">
        <v>1</v>
      </c>
      <c r="AD90">
        <v>3</v>
      </c>
      <c r="AE90">
        <v>0</v>
      </c>
      <c r="AF90">
        <v>0</v>
      </c>
      <c r="AG90">
        <v>0</v>
      </c>
      <c r="AH90">
        <v>0</v>
      </c>
    </row>
    <row r="91" spans="1:34" x14ac:dyDescent="0.35">
      <c r="A91" t="s">
        <v>151</v>
      </c>
      <c r="B91">
        <v>29</v>
      </c>
      <c r="C91" t="str">
        <f t="shared" si="1"/>
        <v>25-34</v>
      </c>
      <c r="D91" t="s">
        <v>35</v>
      </c>
      <c r="E91" t="s">
        <v>36</v>
      </c>
      <c r="F91" t="s">
        <v>54</v>
      </c>
      <c r="G91">
        <v>916</v>
      </c>
      <c r="H91" t="s">
        <v>38</v>
      </c>
      <c r="I91">
        <v>6</v>
      </c>
      <c r="J91">
        <v>3</v>
      </c>
      <c r="K91" t="s">
        <v>64</v>
      </c>
      <c r="L91">
        <v>3</v>
      </c>
      <c r="M91" t="s">
        <v>40</v>
      </c>
      <c r="N91">
        <v>82</v>
      </c>
      <c r="O91">
        <v>1</v>
      </c>
      <c r="P91">
        <v>1</v>
      </c>
      <c r="Q91" t="s">
        <v>60</v>
      </c>
      <c r="R91">
        <v>3</v>
      </c>
      <c r="S91" t="s">
        <v>49</v>
      </c>
      <c r="T91">
        <v>4441</v>
      </c>
      <c r="U91">
        <v>2192</v>
      </c>
      <c r="V91">
        <v>2</v>
      </c>
      <c r="W91" t="s">
        <v>35</v>
      </c>
      <c r="X91">
        <v>15</v>
      </c>
      <c r="Y91">
        <v>3</v>
      </c>
      <c r="Z91">
        <v>3</v>
      </c>
      <c r="AA91">
        <v>0</v>
      </c>
      <c r="AB91">
        <v>8</v>
      </c>
      <c r="AC91">
        <v>1</v>
      </c>
      <c r="AD91">
        <v>2</v>
      </c>
      <c r="AE91">
        <v>0</v>
      </c>
      <c r="AF91">
        <v>0</v>
      </c>
      <c r="AG91">
        <v>0</v>
      </c>
      <c r="AH91">
        <v>0</v>
      </c>
    </row>
    <row r="92" spans="1:34" x14ac:dyDescent="0.35">
      <c r="A92" t="s">
        <v>152</v>
      </c>
      <c r="B92">
        <v>36</v>
      </c>
      <c r="C92" t="str">
        <f t="shared" si="1"/>
        <v>35-44</v>
      </c>
      <c r="D92" t="s">
        <v>35</v>
      </c>
      <c r="E92" t="s">
        <v>36</v>
      </c>
      <c r="F92" t="s">
        <v>37</v>
      </c>
      <c r="G92">
        <v>391</v>
      </c>
      <c r="H92" t="s">
        <v>38</v>
      </c>
      <c r="I92">
        <v>15</v>
      </c>
      <c r="J92">
        <v>2</v>
      </c>
      <c r="K92" t="s">
        <v>69</v>
      </c>
      <c r="L92">
        <v>2</v>
      </c>
      <c r="M92" t="s">
        <v>40</v>
      </c>
      <c r="N92">
        <v>86</v>
      </c>
      <c r="O92">
        <v>3</v>
      </c>
      <c r="P92">
        <v>4</v>
      </c>
      <c r="Q92" t="s">
        <v>52</v>
      </c>
      <c r="R92">
        <v>2</v>
      </c>
      <c r="S92" t="s">
        <v>56</v>
      </c>
      <c r="T92">
        <v>11483</v>
      </c>
      <c r="U92">
        <v>13312</v>
      </c>
      <c r="V92">
        <v>3</v>
      </c>
      <c r="W92" t="s">
        <v>35</v>
      </c>
      <c r="X92">
        <v>11</v>
      </c>
      <c r="Y92">
        <v>3</v>
      </c>
      <c r="Z92">
        <v>1</v>
      </c>
      <c r="AA92">
        <v>0</v>
      </c>
      <c r="AB92">
        <v>16</v>
      </c>
      <c r="AC92">
        <v>5</v>
      </c>
      <c r="AD92">
        <v>3</v>
      </c>
      <c r="AE92">
        <v>12</v>
      </c>
      <c r="AF92">
        <v>1</v>
      </c>
      <c r="AG92">
        <v>0</v>
      </c>
      <c r="AH92">
        <v>1</v>
      </c>
    </row>
    <row r="93" spans="1:34" x14ac:dyDescent="0.35">
      <c r="A93" t="s">
        <v>153</v>
      </c>
      <c r="B93">
        <v>42</v>
      </c>
      <c r="C93" t="str">
        <f t="shared" si="1"/>
        <v>35-44</v>
      </c>
      <c r="D93" t="s">
        <v>35</v>
      </c>
      <c r="E93" t="s">
        <v>36</v>
      </c>
      <c r="F93" t="s">
        <v>54</v>
      </c>
      <c r="G93">
        <v>682</v>
      </c>
      <c r="H93" t="s">
        <v>38</v>
      </c>
      <c r="I93">
        <v>6</v>
      </c>
      <c r="J93">
        <v>4</v>
      </c>
      <c r="K93" t="s">
        <v>69</v>
      </c>
      <c r="L93">
        <v>4</v>
      </c>
      <c r="M93" t="s">
        <v>40</v>
      </c>
      <c r="N93">
        <v>38</v>
      </c>
      <c r="O93">
        <v>2</v>
      </c>
      <c r="P93">
        <v>1</v>
      </c>
      <c r="Q93" t="s">
        <v>62</v>
      </c>
      <c r="R93">
        <v>2</v>
      </c>
      <c r="S93" t="s">
        <v>42</v>
      </c>
      <c r="T93">
        <v>6678</v>
      </c>
      <c r="U93">
        <v>4942</v>
      </c>
      <c r="V93">
        <v>3</v>
      </c>
      <c r="W93" t="s">
        <v>43</v>
      </c>
      <c r="X93">
        <v>17</v>
      </c>
      <c r="Y93">
        <v>3</v>
      </c>
      <c r="Z93">
        <v>2</v>
      </c>
      <c r="AA93">
        <v>2</v>
      </c>
      <c r="AB93">
        <v>17</v>
      </c>
      <c r="AC93">
        <v>6</v>
      </c>
      <c r="AD93">
        <v>3</v>
      </c>
      <c r="AE93">
        <v>0</v>
      </c>
      <c r="AF93">
        <v>0</v>
      </c>
      <c r="AG93">
        <v>0</v>
      </c>
      <c r="AH93">
        <v>0</v>
      </c>
    </row>
    <row r="94" spans="1:34" x14ac:dyDescent="0.35">
      <c r="A94" t="s">
        <v>154</v>
      </c>
      <c r="B94">
        <v>28</v>
      </c>
      <c r="C94" t="str">
        <f t="shared" si="1"/>
        <v>25-34</v>
      </c>
      <c r="D94" t="s">
        <v>35</v>
      </c>
      <c r="E94" t="s">
        <v>36</v>
      </c>
      <c r="F94" t="s">
        <v>54</v>
      </c>
      <c r="G94">
        <v>1098</v>
      </c>
      <c r="H94" t="s">
        <v>38</v>
      </c>
      <c r="I94">
        <v>9</v>
      </c>
      <c r="J94">
        <v>2</v>
      </c>
      <c r="K94" t="s">
        <v>39</v>
      </c>
      <c r="L94">
        <v>2</v>
      </c>
      <c r="M94" t="s">
        <v>51</v>
      </c>
      <c r="N94">
        <v>82</v>
      </c>
      <c r="O94">
        <v>1</v>
      </c>
      <c r="P94">
        <v>1</v>
      </c>
      <c r="Q94" t="s">
        <v>55</v>
      </c>
      <c r="R94">
        <v>3</v>
      </c>
      <c r="S94" t="s">
        <v>49</v>
      </c>
      <c r="T94">
        <v>5071</v>
      </c>
      <c r="U94">
        <v>3230</v>
      </c>
      <c r="V94">
        <v>1</v>
      </c>
      <c r="W94" t="s">
        <v>35</v>
      </c>
      <c r="X94">
        <v>11</v>
      </c>
      <c r="Y94">
        <v>3</v>
      </c>
      <c r="Z94">
        <v>1</v>
      </c>
      <c r="AA94">
        <v>2</v>
      </c>
      <c r="AB94">
        <v>9</v>
      </c>
      <c r="AC94">
        <v>2</v>
      </c>
      <c r="AD94">
        <v>2</v>
      </c>
      <c r="AE94">
        <v>1</v>
      </c>
      <c r="AF94">
        <v>1</v>
      </c>
      <c r="AG94">
        <v>1</v>
      </c>
      <c r="AH94">
        <v>1</v>
      </c>
    </row>
    <row r="95" spans="1:34" x14ac:dyDescent="0.35">
      <c r="A95" t="s">
        <v>155</v>
      </c>
      <c r="B95">
        <v>33</v>
      </c>
      <c r="C95" t="str">
        <f t="shared" si="1"/>
        <v>25-34</v>
      </c>
      <c r="D95" t="s">
        <v>43</v>
      </c>
      <c r="E95" t="s">
        <v>45</v>
      </c>
      <c r="F95" t="s">
        <v>54</v>
      </c>
      <c r="G95">
        <v>880</v>
      </c>
      <c r="H95" t="s">
        <v>38</v>
      </c>
      <c r="I95">
        <v>8</v>
      </c>
      <c r="J95">
        <v>3</v>
      </c>
      <c r="K95" t="s">
        <v>69</v>
      </c>
      <c r="L95">
        <v>2</v>
      </c>
      <c r="M95" t="s">
        <v>40</v>
      </c>
      <c r="N95">
        <v>64</v>
      </c>
      <c r="O95">
        <v>3</v>
      </c>
      <c r="P95">
        <v>1</v>
      </c>
      <c r="Q95" t="s">
        <v>48</v>
      </c>
      <c r="R95">
        <v>1</v>
      </c>
      <c r="S95" t="s">
        <v>49</v>
      </c>
      <c r="T95">
        <v>3452</v>
      </c>
      <c r="U95">
        <v>15299</v>
      </c>
      <c r="V95">
        <v>6</v>
      </c>
      <c r="W95" t="s">
        <v>35</v>
      </c>
      <c r="X95">
        <v>17</v>
      </c>
      <c r="Y95">
        <v>3</v>
      </c>
      <c r="Z95">
        <v>1</v>
      </c>
      <c r="AA95">
        <v>2</v>
      </c>
      <c r="AB95">
        <v>13</v>
      </c>
      <c r="AC95">
        <v>2</v>
      </c>
      <c r="AD95">
        <v>4</v>
      </c>
      <c r="AE95">
        <v>0</v>
      </c>
      <c r="AF95">
        <v>0</v>
      </c>
      <c r="AG95">
        <v>0</v>
      </c>
      <c r="AH95">
        <v>0</v>
      </c>
    </row>
    <row r="96" spans="1:34" x14ac:dyDescent="0.35">
      <c r="A96" t="s">
        <v>156</v>
      </c>
      <c r="B96">
        <v>35</v>
      </c>
      <c r="C96" t="str">
        <f t="shared" si="1"/>
        <v>35-44</v>
      </c>
      <c r="D96" t="s">
        <v>35</v>
      </c>
      <c r="E96" t="s">
        <v>36</v>
      </c>
      <c r="F96" t="s">
        <v>37</v>
      </c>
      <c r="G96">
        <v>1236</v>
      </c>
      <c r="H96" t="s">
        <v>38</v>
      </c>
      <c r="I96">
        <v>10</v>
      </c>
      <c r="J96">
        <v>3</v>
      </c>
      <c r="K96" t="s">
        <v>39</v>
      </c>
      <c r="L96">
        <v>3</v>
      </c>
      <c r="M96" t="s">
        <v>40</v>
      </c>
      <c r="N96">
        <v>71</v>
      </c>
      <c r="O96">
        <v>1</v>
      </c>
      <c r="P96">
        <v>2</v>
      </c>
      <c r="Q96" t="s">
        <v>60</v>
      </c>
      <c r="R96">
        <v>1</v>
      </c>
      <c r="S96" t="s">
        <v>49</v>
      </c>
      <c r="T96">
        <v>6659</v>
      </c>
      <c r="U96">
        <v>21923</v>
      </c>
      <c r="V96">
        <v>4</v>
      </c>
      <c r="W96" t="s">
        <v>35</v>
      </c>
      <c r="X96">
        <v>11</v>
      </c>
      <c r="Y96">
        <v>4</v>
      </c>
      <c r="Z96">
        <v>3</v>
      </c>
      <c r="AA96">
        <v>2</v>
      </c>
      <c r="AB96">
        <v>14</v>
      </c>
      <c r="AC96">
        <v>5</v>
      </c>
      <c r="AD96">
        <v>4</v>
      </c>
      <c r="AE96">
        <v>6</v>
      </c>
      <c r="AF96">
        <v>0</v>
      </c>
      <c r="AG96">
        <v>1</v>
      </c>
      <c r="AH96">
        <v>2</v>
      </c>
    </row>
    <row r="97" spans="1:34" x14ac:dyDescent="0.35">
      <c r="A97" t="s">
        <v>157</v>
      </c>
      <c r="B97">
        <v>25</v>
      </c>
      <c r="C97" t="str">
        <f t="shared" si="1"/>
        <v>under 25</v>
      </c>
      <c r="D97" t="s">
        <v>43</v>
      </c>
      <c r="E97" t="s">
        <v>45</v>
      </c>
      <c r="F97" t="s">
        <v>37</v>
      </c>
      <c r="G97">
        <v>759</v>
      </c>
      <c r="H97" t="s">
        <v>38</v>
      </c>
      <c r="I97">
        <v>1</v>
      </c>
      <c r="J97">
        <v>1</v>
      </c>
      <c r="K97" t="s">
        <v>39</v>
      </c>
      <c r="L97">
        <v>4</v>
      </c>
      <c r="M97" t="s">
        <v>51</v>
      </c>
      <c r="N97">
        <v>37</v>
      </c>
      <c r="O97">
        <v>3</v>
      </c>
      <c r="P97">
        <v>1</v>
      </c>
      <c r="Q97" t="s">
        <v>52</v>
      </c>
      <c r="R97">
        <v>3</v>
      </c>
      <c r="S97" t="s">
        <v>42</v>
      </c>
      <c r="T97">
        <v>4639</v>
      </c>
      <c r="U97">
        <v>14583</v>
      </c>
      <c r="V97">
        <v>6</v>
      </c>
      <c r="W97" t="s">
        <v>43</v>
      </c>
      <c r="X97">
        <v>12</v>
      </c>
      <c r="Y97">
        <v>3</v>
      </c>
      <c r="Z97">
        <v>2</v>
      </c>
      <c r="AA97">
        <v>0</v>
      </c>
      <c r="AB97">
        <v>7</v>
      </c>
      <c r="AC97">
        <v>4</v>
      </c>
      <c r="AD97">
        <v>3</v>
      </c>
      <c r="AE97">
        <v>3</v>
      </c>
      <c r="AF97">
        <v>1</v>
      </c>
      <c r="AG97">
        <v>2</v>
      </c>
      <c r="AH97">
        <v>3</v>
      </c>
    </row>
    <row r="98" spans="1:34" x14ac:dyDescent="0.35">
      <c r="A98" t="s">
        <v>158</v>
      </c>
      <c r="B98">
        <v>51</v>
      </c>
      <c r="C98" t="str">
        <f t="shared" si="1"/>
        <v>45-54</v>
      </c>
      <c r="D98" t="s">
        <v>43</v>
      </c>
      <c r="E98" t="s">
        <v>45</v>
      </c>
      <c r="F98" t="s">
        <v>37</v>
      </c>
      <c r="G98">
        <v>1207</v>
      </c>
      <c r="H98" t="s">
        <v>46</v>
      </c>
      <c r="I98">
        <v>4</v>
      </c>
      <c r="J98">
        <v>3</v>
      </c>
      <c r="K98" t="s">
        <v>69</v>
      </c>
      <c r="L98">
        <v>2</v>
      </c>
      <c r="M98" t="s">
        <v>51</v>
      </c>
      <c r="N98">
        <v>32</v>
      </c>
      <c r="O98">
        <v>3</v>
      </c>
      <c r="P98">
        <v>1</v>
      </c>
      <c r="Q98" t="s">
        <v>80</v>
      </c>
      <c r="R98">
        <v>1</v>
      </c>
      <c r="S98" t="s">
        <v>49</v>
      </c>
      <c r="T98">
        <v>6644</v>
      </c>
      <c r="U98">
        <v>26356</v>
      </c>
      <c r="V98">
        <v>3</v>
      </c>
      <c r="W98" t="s">
        <v>43</v>
      </c>
      <c r="X98">
        <v>12</v>
      </c>
      <c r="Y98">
        <v>3</v>
      </c>
      <c r="Z98">
        <v>2</v>
      </c>
      <c r="AA98">
        <v>1</v>
      </c>
      <c r="AB98">
        <v>31</v>
      </c>
      <c r="AC98">
        <v>4</v>
      </c>
      <c r="AD98">
        <v>3</v>
      </c>
      <c r="AE98">
        <v>3</v>
      </c>
      <c r="AF98">
        <v>3</v>
      </c>
      <c r="AG98">
        <v>3</v>
      </c>
      <c r="AH98">
        <v>1</v>
      </c>
    </row>
    <row r="99" spans="1:34" x14ac:dyDescent="0.35">
      <c r="A99" t="s">
        <v>159</v>
      </c>
      <c r="B99">
        <v>32</v>
      </c>
      <c r="C99" t="str">
        <f t="shared" si="1"/>
        <v>25-34</v>
      </c>
      <c r="D99" t="s">
        <v>35</v>
      </c>
      <c r="E99" t="s">
        <v>36</v>
      </c>
      <c r="F99" t="s">
        <v>37</v>
      </c>
      <c r="G99">
        <v>325</v>
      </c>
      <c r="H99" t="s">
        <v>38</v>
      </c>
      <c r="I99">
        <v>5</v>
      </c>
      <c r="J99">
        <v>2</v>
      </c>
      <c r="K99" t="s">
        <v>64</v>
      </c>
      <c r="L99">
        <v>2</v>
      </c>
      <c r="M99" t="s">
        <v>51</v>
      </c>
      <c r="N99">
        <v>38</v>
      </c>
      <c r="O99">
        <v>3</v>
      </c>
      <c r="P99">
        <v>2</v>
      </c>
      <c r="Q99" t="s">
        <v>60</v>
      </c>
      <c r="R99">
        <v>3</v>
      </c>
      <c r="S99" t="s">
        <v>49</v>
      </c>
      <c r="T99">
        <v>5558</v>
      </c>
      <c r="U99">
        <v>7208</v>
      </c>
      <c r="V99">
        <v>3</v>
      </c>
      <c r="W99" t="s">
        <v>35</v>
      </c>
      <c r="X99">
        <v>18</v>
      </c>
      <c r="Y99">
        <v>3</v>
      </c>
      <c r="Z99">
        <v>4</v>
      </c>
      <c r="AA99">
        <v>1</v>
      </c>
      <c r="AB99">
        <v>9</v>
      </c>
      <c r="AC99">
        <v>6</v>
      </c>
      <c r="AD99">
        <v>3</v>
      </c>
      <c r="AE99">
        <v>9</v>
      </c>
      <c r="AF99">
        <v>1</v>
      </c>
      <c r="AG99">
        <v>0</v>
      </c>
      <c r="AH99">
        <v>0</v>
      </c>
    </row>
    <row r="100" spans="1:34" x14ac:dyDescent="0.35">
      <c r="A100" t="s">
        <v>160</v>
      </c>
      <c r="B100">
        <v>32</v>
      </c>
      <c r="C100" t="str">
        <f t="shared" si="1"/>
        <v>25-34</v>
      </c>
      <c r="D100" t="s">
        <v>35</v>
      </c>
      <c r="E100" t="s">
        <v>36</v>
      </c>
      <c r="F100" t="s">
        <v>37</v>
      </c>
      <c r="G100">
        <v>319</v>
      </c>
      <c r="H100" t="s">
        <v>38</v>
      </c>
      <c r="I100">
        <v>1</v>
      </c>
      <c r="J100">
        <v>4</v>
      </c>
      <c r="K100" t="s">
        <v>64</v>
      </c>
      <c r="L100">
        <v>4</v>
      </c>
      <c r="M100" t="s">
        <v>51</v>
      </c>
      <c r="N100">
        <v>82</v>
      </c>
      <c r="O100">
        <v>2</v>
      </c>
      <c r="P100">
        <v>2</v>
      </c>
      <c r="Q100" t="s">
        <v>60</v>
      </c>
      <c r="R100">
        <v>2</v>
      </c>
      <c r="S100" t="s">
        <v>42</v>
      </c>
      <c r="T100">
        <v>6365</v>
      </c>
      <c r="U100">
        <v>11949</v>
      </c>
      <c r="V100">
        <v>2</v>
      </c>
      <c r="W100" t="s">
        <v>35</v>
      </c>
      <c r="X100">
        <v>11</v>
      </c>
      <c r="Y100">
        <v>3</v>
      </c>
      <c r="Z100">
        <v>4</v>
      </c>
      <c r="AA100">
        <v>2</v>
      </c>
      <c r="AB100">
        <v>6</v>
      </c>
      <c r="AC100">
        <v>5</v>
      </c>
      <c r="AD100">
        <v>3</v>
      </c>
      <c r="AE100">
        <v>5</v>
      </c>
      <c r="AF100">
        <v>2</v>
      </c>
      <c r="AG100">
        <v>1</v>
      </c>
      <c r="AH100">
        <v>3</v>
      </c>
    </row>
    <row r="101" spans="1:34" x14ac:dyDescent="0.35">
      <c r="A101" t="s">
        <v>161</v>
      </c>
      <c r="B101">
        <v>59</v>
      </c>
      <c r="C101" t="str">
        <f t="shared" si="1"/>
        <v>55+</v>
      </c>
      <c r="D101" t="s">
        <v>35</v>
      </c>
      <c r="E101" t="s">
        <v>36</v>
      </c>
      <c r="F101" t="s">
        <v>37</v>
      </c>
      <c r="G101">
        <v>1234</v>
      </c>
      <c r="H101" t="s">
        <v>38</v>
      </c>
      <c r="I101">
        <v>1</v>
      </c>
      <c r="J101">
        <v>3</v>
      </c>
      <c r="K101" t="s">
        <v>47</v>
      </c>
      <c r="L101">
        <v>3</v>
      </c>
      <c r="M101" t="s">
        <v>40</v>
      </c>
      <c r="N101">
        <v>88</v>
      </c>
      <c r="O101">
        <v>3</v>
      </c>
      <c r="P101">
        <v>1</v>
      </c>
      <c r="Q101" t="s">
        <v>55</v>
      </c>
      <c r="R101">
        <v>3</v>
      </c>
      <c r="S101" t="s">
        <v>49</v>
      </c>
      <c r="T101">
        <v>8231</v>
      </c>
      <c r="U101">
        <v>23260</v>
      </c>
      <c r="V101">
        <v>1</v>
      </c>
      <c r="W101" t="s">
        <v>35</v>
      </c>
      <c r="X101">
        <v>15</v>
      </c>
      <c r="Y101">
        <v>3</v>
      </c>
      <c r="Z101">
        <v>4</v>
      </c>
      <c r="AA101">
        <v>1</v>
      </c>
      <c r="AB101">
        <v>40</v>
      </c>
      <c r="AC101">
        <v>2</v>
      </c>
      <c r="AD101">
        <v>3</v>
      </c>
      <c r="AE101">
        <v>2</v>
      </c>
      <c r="AF101">
        <v>0</v>
      </c>
      <c r="AG101">
        <v>0</v>
      </c>
      <c r="AH101">
        <v>2</v>
      </c>
    </row>
    <row r="102" spans="1:34" x14ac:dyDescent="0.35">
      <c r="A102" t="s">
        <v>162</v>
      </c>
      <c r="B102">
        <v>38</v>
      </c>
      <c r="C102" t="str">
        <f t="shared" si="1"/>
        <v>35-44</v>
      </c>
      <c r="D102" t="s">
        <v>35</v>
      </c>
      <c r="E102" t="s">
        <v>36</v>
      </c>
      <c r="F102" t="s">
        <v>37</v>
      </c>
      <c r="G102">
        <v>1052</v>
      </c>
      <c r="H102" t="s">
        <v>46</v>
      </c>
      <c r="I102">
        <v>1</v>
      </c>
      <c r="J102">
        <v>3</v>
      </c>
      <c r="K102" t="s">
        <v>64</v>
      </c>
      <c r="L102">
        <v>3</v>
      </c>
      <c r="M102" t="s">
        <v>51</v>
      </c>
      <c r="N102">
        <v>37</v>
      </c>
      <c r="O102">
        <v>3</v>
      </c>
      <c r="P102">
        <v>1</v>
      </c>
      <c r="Q102" t="s">
        <v>80</v>
      </c>
      <c r="R102">
        <v>2</v>
      </c>
      <c r="S102" t="s">
        <v>56</v>
      </c>
      <c r="T102">
        <v>4332</v>
      </c>
      <c r="U102">
        <v>26647</v>
      </c>
      <c r="V102">
        <v>1</v>
      </c>
      <c r="W102" t="s">
        <v>35</v>
      </c>
      <c r="X102">
        <v>16</v>
      </c>
      <c r="Y102">
        <v>3</v>
      </c>
      <c r="Z102">
        <v>3</v>
      </c>
      <c r="AA102">
        <v>2</v>
      </c>
      <c r="AB102">
        <v>11</v>
      </c>
      <c r="AC102">
        <v>3</v>
      </c>
      <c r="AD102">
        <v>3</v>
      </c>
      <c r="AE102">
        <v>0</v>
      </c>
      <c r="AF102">
        <v>0</v>
      </c>
      <c r="AG102">
        <v>0</v>
      </c>
      <c r="AH102">
        <v>0</v>
      </c>
    </row>
    <row r="103" spans="1:34" x14ac:dyDescent="0.35">
      <c r="A103" t="s">
        <v>163</v>
      </c>
      <c r="B103">
        <v>29</v>
      </c>
      <c r="C103" t="str">
        <f t="shared" si="1"/>
        <v>25-34</v>
      </c>
      <c r="D103" t="s">
        <v>35</v>
      </c>
      <c r="E103" t="s">
        <v>36</v>
      </c>
      <c r="F103" t="s">
        <v>37</v>
      </c>
      <c r="G103">
        <v>1341</v>
      </c>
      <c r="H103" t="s">
        <v>38</v>
      </c>
      <c r="I103">
        <v>2</v>
      </c>
      <c r="J103">
        <v>3</v>
      </c>
      <c r="K103" t="s">
        <v>64</v>
      </c>
      <c r="L103">
        <v>4</v>
      </c>
      <c r="M103" t="s">
        <v>40</v>
      </c>
      <c r="N103">
        <v>78</v>
      </c>
      <c r="O103">
        <v>2</v>
      </c>
      <c r="P103">
        <v>1</v>
      </c>
      <c r="Q103" t="s">
        <v>41</v>
      </c>
      <c r="R103">
        <v>3</v>
      </c>
      <c r="S103" t="s">
        <v>49</v>
      </c>
      <c r="T103">
        <v>4514</v>
      </c>
      <c r="U103">
        <v>13939</v>
      </c>
      <c r="V103">
        <v>1</v>
      </c>
      <c r="W103" t="s">
        <v>43</v>
      </c>
      <c r="X103">
        <v>23</v>
      </c>
      <c r="Y103">
        <v>3</v>
      </c>
      <c r="Z103">
        <v>4</v>
      </c>
      <c r="AA103">
        <v>3</v>
      </c>
      <c r="AB103">
        <v>6</v>
      </c>
      <c r="AC103">
        <v>0</v>
      </c>
      <c r="AD103">
        <v>3</v>
      </c>
      <c r="AE103">
        <v>0</v>
      </c>
      <c r="AF103">
        <v>0</v>
      </c>
      <c r="AG103">
        <v>0</v>
      </c>
      <c r="AH103">
        <v>0</v>
      </c>
    </row>
    <row r="104" spans="1:34" x14ac:dyDescent="0.35">
      <c r="A104" t="s">
        <v>164</v>
      </c>
      <c r="B104">
        <v>32</v>
      </c>
      <c r="C104" t="str">
        <f t="shared" si="1"/>
        <v>25-34</v>
      </c>
      <c r="D104" t="s">
        <v>35</v>
      </c>
      <c r="E104" t="s">
        <v>36</v>
      </c>
      <c r="F104" t="s">
        <v>37</v>
      </c>
      <c r="G104">
        <v>1128</v>
      </c>
      <c r="H104" t="s">
        <v>46</v>
      </c>
      <c r="I104">
        <v>7</v>
      </c>
      <c r="J104">
        <v>2</v>
      </c>
      <c r="K104" t="s">
        <v>64</v>
      </c>
      <c r="L104">
        <v>3</v>
      </c>
      <c r="M104" t="s">
        <v>51</v>
      </c>
      <c r="N104">
        <v>96</v>
      </c>
      <c r="O104">
        <v>3</v>
      </c>
      <c r="P104">
        <v>1</v>
      </c>
      <c r="Q104" t="s">
        <v>65</v>
      </c>
      <c r="R104">
        <v>3</v>
      </c>
      <c r="S104" t="s">
        <v>42</v>
      </c>
      <c r="T104">
        <v>5243</v>
      </c>
      <c r="U104">
        <v>21738</v>
      </c>
      <c r="V104">
        <v>3</v>
      </c>
      <c r="W104" t="s">
        <v>35</v>
      </c>
      <c r="X104">
        <v>15</v>
      </c>
      <c r="Y104">
        <v>3</v>
      </c>
      <c r="Z104">
        <v>3</v>
      </c>
      <c r="AA104">
        <v>0</v>
      </c>
      <c r="AB104">
        <v>7</v>
      </c>
      <c r="AC104">
        <v>0</v>
      </c>
      <c r="AD104">
        <v>3</v>
      </c>
      <c r="AE104">
        <v>0</v>
      </c>
      <c r="AF104">
        <v>0</v>
      </c>
      <c r="AG104">
        <v>0</v>
      </c>
      <c r="AH104">
        <v>0</v>
      </c>
    </row>
    <row r="105" spans="1:34" x14ac:dyDescent="0.35">
      <c r="A105" t="s">
        <v>165</v>
      </c>
      <c r="B105">
        <v>32</v>
      </c>
      <c r="C105" t="str">
        <f t="shared" si="1"/>
        <v>25-34</v>
      </c>
      <c r="D105" t="s">
        <v>35</v>
      </c>
      <c r="E105" t="s">
        <v>36</v>
      </c>
      <c r="F105" t="s">
        <v>54</v>
      </c>
      <c r="G105">
        <v>1235</v>
      </c>
      <c r="H105" t="s">
        <v>38</v>
      </c>
      <c r="I105">
        <v>10</v>
      </c>
      <c r="J105">
        <v>2</v>
      </c>
      <c r="K105" t="s">
        <v>69</v>
      </c>
      <c r="L105">
        <v>4</v>
      </c>
      <c r="M105" t="s">
        <v>40</v>
      </c>
      <c r="N105">
        <v>76</v>
      </c>
      <c r="O105">
        <v>3</v>
      </c>
      <c r="P105">
        <v>1</v>
      </c>
      <c r="Q105" t="s">
        <v>52</v>
      </c>
      <c r="R105">
        <v>4</v>
      </c>
      <c r="S105" t="s">
        <v>49</v>
      </c>
      <c r="T105">
        <v>5475</v>
      </c>
      <c r="U105">
        <v>10662</v>
      </c>
      <c r="V105">
        <v>2</v>
      </c>
      <c r="W105" t="s">
        <v>43</v>
      </c>
      <c r="X105">
        <v>15</v>
      </c>
      <c r="Y105">
        <v>3</v>
      </c>
      <c r="Z105">
        <v>1</v>
      </c>
      <c r="AA105">
        <v>1</v>
      </c>
      <c r="AB105">
        <v>9</v>
      </c>
      <c r="AC105">
        <v>6</v>
      </c>
      <c r="AD105">
        <v>3</v>
      </c>
      <c r="AE105">
        <v>4</v>
      </c>
      <c r="AF105">
        <v>1</v>
      </c>
      <c r="AG105">
        <v>1</v>
      </c>
      <c r="AH105">
        <v>1</v>
      </c>
    </row>
    <row r="106" spans="1:34" x14ac:dyDescent="0.35">
      <c r="A106" t="s">
        <v>166</v>
      </c>
      <c r="B106">
        <v>50</v>
      </c>
      <c r="C106" t="str">
        <f t="shared" si="1"/>
        <v>45-54</v>
      </c>
      <c r="D106" t="s">
        <v>35</v>
      </c>
      <c r="E106" t="s">
        <v>36</v>
      </c>
      <c r="F106" t="s">
        <v>37</v>
      </c>
      <c r="G106">
        <v>377</v>
      </c>
      <c r="H106" t="s">
        <v>46</v>
      </c>
      <c r="I106">
        <v>1</v>
      </c>
      <c r="J106">
        <v>1</v>
      </c>
      <c r="K106" t="s">
        <v>69</v>
      </c>
      <c r="L106">
        <v>4</v>
      </c>
      <c r="M106" t="s">
        <v>40</v>
      </c>
      <c r="N106">
        <v>69</v>
      </c>
      <c r="O106">
        <v>2</v>
      </c>
      <c r="P106">
        <v>2</v>
      </c>
      <c r="Q106" t="s">
        <v>80</v>
      </c>
      <c r="R106">
        <v>1</v>
      </c>
      <c r="S106" t="s">
        <v>49</v>
      </c>
      <c r="T106">
        <v>8471</v>
      </c>
      <c r="U106">
        <v>12350</v>
      </c>
      <c r="V106">
        <v>4</v>
      </c>
      <c r="W106" t="s">
        <v>35</v>
      </c>
      <c r="X106">
        <v>13</v>
      </c>
      <c r="Y106">
        <v>4</v>
      </c>
      <c r="Z106">
        <v>1</v>
      </c>
      <c r="AA106">
        <v>1</v>
      </c>
      <c r="AB106">
        <v>29</v>
      </c>
      <c r="AC106">
        <v>4</v>
      </c>
      <c r="AD106">
        <v>3</v>
      </c>
      <c r="AE106">
        <v>5</v>
      </c>
      <c r="AF106">
        <v>1</v>
      </c>
      <c r="AG106">
        <v>5</v>
      </c>
      <c r="AH106">
        <v>5</v>
      </c>
    </row>
    <row r="107" spans="1:34" x14ac:dyDescent="0.35">
      <c r="A107" t="s">
        <v>167</v>
      </c>
      <c r="B107">
        <v>34</v>
      </c>
      <c r="C107" t="str">
        <f t="shared" si="1"/>
        <v>25-34</v>
      </c>
      <c r="D107" t="s">
        <v>35</v>
      </c>
      <c r="E107" t="s">
        <v>36</v>
      </c>
      <c r="F107" t="s">
        <v>54</v>
      </c>
      <c r="G107">
        <v>1372</v>
      </c>
      <c r="H107" t="s">
        <v>38</v>
      </c>
      <c r="I107">
        <v>1</v>
      </c>
      <c r="J107">
        <v>2</v>
      </c>
      <c r="K107" t="s">
        <v>69</v>
      </c>
      <c r="L107">
        <v>3</v>
      </c>
      <c r="M107" t="s">
        <v>40</v>
      </c>
      <c r="N107">
        <v>43</v>
      </c>
      <c r="O107">
        <v>1</v>
      </c>
      <c r="P107">
        <v>1</v>
      </c>
      <c r="Q107" t="s">
        <v>62</v>
      </c>
      <c r="R107">
        <v>2</v>
      </c>
      <c r="S107" t="s">
        <v>49</v>
      </c>
      <c r="T107">
        <v>3462</v>
      </c>
      <c r="U107">
        <v>16719</v>
      </c>
      <c r="V107">
        <v>3</v>
      </c>
      <c r="W107" t="s">
        <v>35</v>
      </c>
      <c r="X107">
        <v>18</v>
      </c>
      <c r="Y107">
        <v>3</v>
      </c>
      <c r="Z107">
        <v>3</v>
      </c>
      <c r="AA107">
        <v>0</v>
      </c>
      <c r="AB107">
        <v>11</v>
      </c>
      <c r="AC107">
        <v>2</v>
      </c>
      <c r="AD107">
        <v>4</v>
      </c>
      <c r="AE107">
        <v>0</v>
      </c>
      <c r="AF107">
        <v>0</v>
      </c>
      <c r="AG107">
        <v>0</v>
      </c>
      <c r="AH107">
        <v>0</v>
      </c>
    </row>
    <row r="108" spans="1:34" x14ac:dyDescent="0.35">
      <c r="A108" t="s">
        <v>168</v>
      </c>
      <c r="B108">
        <v>51</v>
      </c>
      <c r="C108" t="str">
        <f t="shared" si="1"/>
        <v>45-54</v>
      </c>
      <c r="D108" t="s">
        <v>35</v>
      </c>
      <c r="E108" t="s">
        <v>36</v>
      </c>
      <c r="F108" t="s">
        <v>37</v>
      </c>
      <c r="G108">
        <v>682</v>
      </c>
      <c r="H108" t="s">
        <v>38</v>
      </c>
      <c r="I108">
        <v>2</v>
      </c>
      <c r="J108">
        <v>2</v>
      </c>
      <c r="K108" t="s">
        <v>47</v>
      </c>
      <c r="L108">
        <v>3</v>
      </c>
      <c r="M108" t="s">
        <v>40</v>
      </c>
      <c r="N108">
        <v>86</v>
      </c>
      <c r="O108">
        <v>3</v>
      </c>
      <c r="P108">
        <v>1</v>
      </c>
      <c r="Q108" t="s">
        <v>60</v>
      </c>
      <c r="R108">
        <v>4</v>
      </c>
      <c r="S108" t="s">
        <v>49</v>
      </c>
      <c r="T108">
        <v>7264</v>
      </c>
      <c r="U108">
        <v>9119</v>
      </c>
      <c r="V108">
        <v>3</v>
      </c>
      <c r="W108" t="s">
        <v>43</v>
      </c>
      <c r="X108">
        <v>13</v>
      </c>
      <c r="Y108">
        <v>3</v>
      </c>
      <c r="Z108">
        <v>3</v>
      </c>
      <c r="AA108">
        <v>0</v>
      </c>
      <c r="AB108">
        <v>28</v>
      </c>
      <c r="AC108">
        <v>6</v>
      </c>
      <c r="AD108">
        <v>3</v>
      </c>
      <c r="AE108">
        <v>4</v>
      </c>
      <c r="AF108">
        <v>0</v>
      </c>
      <c r="AG108">
        <v>4</v>
      </c>
      <c r="AH108">
        <v>0</v>
      </c>
    </row>
    <row r="109" spans="1:34" x14ac:dyDescent="0.35">
      <c r="A109" t="s">
        <v>169</v>
      </c>
      <c r="B109">
        <v>35</v>
      </c>
      <c r="C109" t="str">
        <f t="shared" si="1"/>
        <v>35-44</v>
      </c>
      <c r="D109" t="s">
        <v>35</v>
      </c>
      <c r="E109" t="s">
        <v>36</v>
      </c>
      <c r="F109" t="s">
        <v>54</v>
      </c>
      <c r="G109">
        <v>1101</v>
      </c>
      <c r="H109" t="s">
        <v>38</v>
      </c>
      <c r="I109">
        <v>9</v>
      </c>
      <c r="J109">
        <v>4</v>
      </c>
      <c r="K109" t="s">
        <v>47</v>
      </c>
      <c r="L109">
        <v>1</v>
      </c>
      <c r="M109" t="s">
        <v>51</v>
      </c>
      <c r="N109">
        <v>32</v>
      </c>
      <c r="O109">
        <v>3</v>
      </c>
      <c r="P109">
        <v>1</v>
      </c>
      <c r="Q109" t="s">
        <v>52</v>
      </c>
      <c r="R109">
        <v>3</v>
      </c>
      <c r="S109" t="s">
        <v>49</v>
      </c>
      <c r="T109">
        <v>4284</v>
      </c>
      <c r="U109">
        <v>15704</v>
      </c>
      <c r="V109">
        <v>2</v>
      </c>
      <c r="W109" t="s">
        <v>35</v>
      </c>
      <c r="X109">
        <v>22</v>
      </c>
      <c r="Y109">
        <v>4</v>
      </c>
      <c r="Z109">
        <v>2</v>
      </c>
      <c r="AA109">
        <v>1</v>
      </c>
      <c r="AB109">
        <v>13</v>
      </c>
      <c r="AC109">
        <v>2</v>
      </c>
      <c r="AD109">
        <v>3</v>
      </c>
      <c r="AE109">
        <v>2</v>
      </c>
      <c r="AF109">
        <v>0</v>
      </c>
      <c r="AG109">
        <v>0</v>
      </c>
      <c r="AH109">
        <v>2</v>
      </c>
    </row>
    <row r="110" spans="1:34" x14ac:dyDescent="0.35">
      <c r="A110" t="s">
        <v>170</v>
      </c>
      <c r="B110">
        <v>42</v>
      </c>
      <c r="C110" t="str">
        <f t="shared" si="1"/>
        <v>35-44</v>
      </c>
      <c r="D110" t="s">
        <v>35</v>
      </c>
      <c r="E110" t="s">
        <v>36</v>
      </c>
      <c r="F110" t="s">
        <v>54</v>
      </c>
      <c r="G110">
        <v>582</v>
      </c>
      <c r="H110" t="s">
        <v>46</v>
      </c>
      <c r="I110">
        <v>1</v>
      </c>
      <c r="J110">
        <v>1</v>
      </c>
      <c r="K110" t="s">
        <v>103</v>
      </c>
      <c r="L110">
        <v>2</v>
      </c>
      <c r="M110" t="s">
        <v>51</v>
      </c>
      <c r="N110">
        <v>88</v>
      </c>
      <c r="O110">
        <v>3</v>
      </c>
      <c r="P110">
        <v>1</v>
      </c>
      <c r="Q110" t="s">
        <v>48</v>
      </c>
      <c r="R110">
        <v>3</v>
      </c>
      <c r="S110" t="s">
        <v>49</v>
      </c>
      <c r="T110">
        <v>5445</v>
      </c>
      <c r="U110">
        <v>3881</v>
      </c>
      <c r="V110">
        <v>3</v>
      </c>
      <c r="W110" t="s">
        <v>35</v>
      </c>
      <c r="X110">
        <v>11</v>
      </c>
      <c r="Y110">
        <v>3</v>
      </c>
      <c r="Z110">
        <v>1</v>
      </c>
      <c r="AA110">
        <v>2</v>
      </c>
      <c r="AB110">
        <v>21</v>
      </c>
      <c r="AC110">
        <v>2</v>
      </c>
      <c r="AD110">
        <v>2</v>
      </c>
      <c r="AE110">
        <v>2</v>
      </c>
      <c r="AF110">
        <v>0</v>
      </c>
      <c r="AG110">
        <v>0</v>
      </c>
      <c r="AH110">
        <v>2</v>
      </c>
    </row>
    <row r="111" spans="1:34" x14ac:dyDescent="0.35">
      <c r="A111" t="s">
        <v>171</v>
      </c>
      <c r="B111">
        <v>26</v>
      </c>
      <c r="C111" t="str">
        <f t="shared" si="1"/>
        <v>25-34</v>
      </c>
      <c r="D111" t="s">
        <v>43</v>
      </c>
      <c r="E111" t="s">
        <v>45</v>
      </c>
      <c r="F111" t="s">
        <v>37</v>
      </c>
      <c r="G111">
        <v>327</v>
      </c>
      <c r="H111" t="s">
        <v>46</v>
      </c>
      <c r="I111">
        <v>1</v>
      </c>
      <c r="J111">
        <v>1</v>
      </c>
      <c r="K111" t="s">
        <v>47</v>
      </c>
      <c r="L111">
        <v>4</v>
      </c>
      <c r="M111" t="s">
        <v>40</v>
      </c>
      <c r="N111">
        <v>76</v>
      </c>
      <c r="O111">
        <v>3</v>
      </c>
      <c r="P111">
        <v>2</v>
      </c>
      <c r="Q111" t="s">
        <v>48</v>
      </c>
      <c r="R111">
        <v>3</v>
      </c>
      <c r="S111" t="s">
        <v>42</v>
      </c>
      <c r="T111">
        <v>6609</v>
      </c>
      <c r="U111">
        <v>14205</v>
      </c>
      <c r="V111">
        <v>2</v>
      </c>
      <c r="W111" t="s">
        <v>43</v>
      </c>
      <c r="X111">
        <v>18</v>
      </c>
      <c r="Y111">
        <v>3</v>
      </c>
      <c r="Z111">
        <v>4</v>
      </c>
      <c r="AA111">
        <v>1</v>
      </c>
      <c r="AB111">
        <v>3</v>
      </c>
      <c r="AC111">
        <v>1</v>
      </c>
      <c r="AD111">
        <v>3</v>
      </c>
      <c r="AE111">
        <v>1</v>
      </c>
      <c r="AF111">
        <v>0</v>
      </c>
      <c r="AG111">
        <v>1</v>
      </c>
      <c r="AH111">
        <v>1</v>
      </c>
    </row>
    <row r="112" spans="1:34" x14ac:dyDescent="0.35">
      <c r="A112" t="s">
        <v>172</v>
      </c>
      <c r="B112">
        <v>46</v>
      </c>
      <c r="C112" t="str">
        <f t="shared" si="1"/>
        <v>45-54</v>
      </c>
      <c r="D112" t="s">
        <v>35</v>
      </c>
      <c r="E112" t="s">
        <v>36</v>
      </c>
      <c r="F112" t="s">
        <v>37</v>
      </c>
      <c r="G112">
        <v>377</v>
      </c>
      <c r="H112" t="s">
        <v>38</v>
      </c>
      <c r="I112">
        <v>2</v>
      </c>
      <c r="J112">
        <v>3</v>
      </c>
      <c r="K112" t="s">
        <v>47</v>
      </c>
      <c r="L112">
        <v>4</v>
      </c>
      <c r="M112" t="s">
        <v>40</v>
      </c>
      <c r="N112">
        <v>87</v>
      </c>
      <c r="O112">
        <v>3</v>
      </c>
      <c r="P112">
        <v>1</v>
      </c>
      <c r="Q112" t="s">
        <v>48</v>
      </c>
      <c r="R112">
        <v>4</v>
      </c>
      <c r="S112" t="s">
        <v>56</v>
      </c>
      <c r="T112">
        <v>6005</v>
      </c>
      <c r="U112">
        <v>20243</v>
      </c>
      <c r="V112">
        <v>2</v>
      </c>
      <c r="W112" t="s">
        <v>35</v>
      </c>
      <c r="X112">
        <v>13</v>
      </c>
      <c r="Y112">
        <v>4</v>
      </c>
      <c r="Z112">
        <v>3</v>
      </c>
      <c r="AA112">
        <v>0</v>
      </c>
      <c r="AB112">
        <v>22</v>
      </c>
      <c r="AC112">
        <v>2</v>
      </c>
      <c r="AD112">
        <v>3</v>
      </c>
      <c r="AE112">
        <v>0</v>
      </c>
      <c r="AF112">
        <v>0</v>
      </c>
      <c r="AG112">
        <v>0</v>
      </c>
      <c r="AH112">
        <v>0</v>
      </c>
    </row>
    <row r="113" spans="1:34" x14ac:dyDescent="0.35">
      <c r="A113" t="s">
        <v>173</v>
      </c>
      <c r="B113">
        <v>20</v>
      </c>
      <c r="C113" t="str">
        <f t="shared" si="1"/>
        <v>under 25</v>
      </c>
      <c r="D113" t="s">
        <v>43</v>
      </c>
      <c r="E113" t="s">
        <v>45</v>
      </c>
      <c r="F113" t="s">
        <v>37</v>
      </c>
      <c r="G113">
        <v>1231</v>
      </c>
      <c r="H113" t="s">
        <v>38</v>
      </c>
      <c r="I113">
        <v>9</v>
      </c>
      <c r="J113">
        <v>4</v>
      </c>
      <c r="K113" t="s">
        <v>69</v>
      </c>
      <c r="L113">
        <v>4</v>
      </c>
      <c r="M113" t="s">
        <v>40</v>
      </c>
      <c r="N113">
        <v>48</v>
      </c>
      <c r="O113">
        <v>1</v>
      </c>
      <c r="P113">
        <v>2</v>
      </c>
      <c r="Q113" t="s">
        <v>55</v>
      </c>
      <c r="R113">
        <v>4</v>
      </c>
      <c r="S113" t="s">
        <v>56</v>
      </c>
      <c r="T113">
        <v>6197</v>
      </c>
      <c r="U113">
        <v>8553</v>
      </c>
      <c r="V113">
        <v>1</v>
      </c>
      <c r="W113" t="s">
        <v>35</v>
      </c>
      <c r="X113">
        <v>12</v>
      </c>
      <c r="Y113">
        <v>3</v>
      </c>
      <c r="Z113">
        <v>4</v>
      </c>
      <c r="AA113">
        <v>0</v>
      </c>
      <c r="AB113">
        <v>0</v>
      </c>
      <c r="AC113">
        <v>2</v>
      </c>
      <c r="AD113">
        <v>1</v>
      </c>
      <c r="AE113">
        <v>0</v>
      </c>
      <c r="AF113">
        <v>0</v>
      </c>
      <c r="AG113">
        <v>0</v>
      </c>
      <c r="AH113">
        <v>0</v>
      </c>
    </row>
    <row r="114" spans="1:34" x14ac:dyDescent="0.35">
      <c r="A114" t="s">
        <v>174</v>
      </c>
      <c r="B114">
        <v>35</v>
      </c>
      <c r="C114" t="str">
        <f t="shared" si="1"/>
        <v>35-44</v>
      </c>
      <c r="D114" t="s">
        <v>43</v>
      </c>
      <c r="E114" t="s">
        <v>45</v>
      </c>
      <c r="F114" t="s">
        <v>37</v>
      </c>
      <c r="G114">
        <v>604</v>
      </c>
      <c r="H114" t="s">
        <v>46</v>
      </c>
      <c r="I114">
        <v>1</v>
      </c>
      <c r="J114">
        <v>3</v>
      </c>
      <c r="K114" t="s">
        <v>64</v>
      </c>
      <c r="L114">
        <v>3</v>
      </c>
      <c r="M114" t="s">
        <v>51</v>
      </c>
      <c r="N114">
        <v>77</v>
      </c>
      <c r="O114">
        <v>3</v>
      </c>
      <c r="P114">
        <v>1</v>
      </c>
      <c r="Q114" t="s">
        <v>65</v>
      </c>
      <c r="R114">
        <v>1</v>
      </c>
      <c r="S114" t="s">
        <v>49</v>
      </c>
      <c r="T114">
        <v>5106</v>
      </c>
      <c r="U114">
        <v>23267</v>
      </c>
      <c r="V114">
        <v>2</v>
      </c>
      <c r="W114" t="s">
        <v>35</v>
      </c>
      <c r="X114">
        <v>13</v>
      </c>
      <c r="Y114">
        <v>3</v>
      </c>
      <c r="Z114">
        <v>1</v>
      </c>
      <c r="AA114">
        <v>1</v>
      </c>
      <c r="AB114">
        <v>13</v>
      </c>
      <c r="AC114">
        <v>6</v>
      </c>
      <c r="AD114">
        <v>3</v>
      </c>
      <c r="AE114">
        <v>0</v>
      </c>
      <c r="AF114">
        <v>0</v>
      </c>
      <c r="AG114">
        <v>0</v>
      </c>
      <c r="AH114">
        <v>0</v>
      </c>
    </row>
    <row r="115" spans="1:34" x14ac:dyDescent="0.35">
      <c r="A115" t="s">
        <v>175</v>
      </c>
      <c r="B115">
        <v>38</v>
      </c>
      <c r="C115" t="str">
        <f t="shared" si="1"/>
        <v>35-44</v>
      </c>
      <c r="D115" t="s">
        <v>35</v>
      </c>
      <c r="E115" t="s">
        <v>36</v>
      </c>
      <c r="F115" t="s">
        <v>54</v>
      </c>
      <c r="G115">
        <v>809</v>
      </c>
      <c r="H115" t="s">
        <v>38</v>
      </c>
      <c r="I115">
        <v>7</v>
      </c>
      <c r="J115">
        <v>5</v>
      </c>
      <c r="K115" t="s">
        <v>64</v>
      </c>
      <c r="L115">
        <v>4</v>
      </c>
      <c r="M115" t="s">
        <v>51</v>
      </c>
      <c r="N115">
        <v>41</v>
      </c>
      <c r="O115">
        <v>3</v>
      </c>
      <c r="P115">
        <v>2</v>
      </c>
      <c r="Q115" t="s">
        <v>60</v>
      </c>
      <c r="R115">
        <v>4</v>
      </c>
      <c r="S115" t="s">
        <v>49</v>
      </c>
      <c r="T115">
        <v>6303</v>
      </c>
      <c r="U115">
        <v>15648</v>
      </c>
      <c r="V115">
        <v>2</v>
      </c>
      <c r="W115" t="s">
        <v>35</v>
      </c>
      <c r="X115">
        <v>13</v>
      </c>
      <c r="Y115">
        <v>3</v>
      </c>
      <c r="Z115">
        <v>3</v>
      </c>
      <c r="AA115">
        <v>1</v>
      </c>
      <c r="AB115">
        <v>15</v>
      </c>
      <c r="AC115">
        <v>2</v>
      </c>
      <c r="AD115">
        <v>2</v>
      </c>
      <c r="AE115">
        <v>2</v>
      </c>
      <c r="AF115">
        <v>2</v>
      </c>
      <c r="AG115">
        <v>1</v>
      </c>
      <c r="AH115">
        <v>2</v>
      </c>
    </row>
    <row r="116" spans="1:34" x14ac:dyDescent="0.35">
      <c r="A116" t="s">
        <v>176</v>
      </c>
      <c r="B116">
        <v>28</v>
      </c>
      <c r="C116" t="str">
        <f t="shared" si="1"/>
        <v>25-34</v>
      </c>
      <c r="D116" t="s">
        <v>35</v>
      </c>
      <c r="E116" t="s">
        <v>36</v>
      </c>
      <c r="F116" t="s">
        <v>37</v>
      </c>
      <c r="G116">
        <v>665</v>
      </c>
      <c r="H116" t="s">
        <v>46</v>
      </c>
      <c r="I116">
        <v>25</v>
      </c>
      <c r="J116">
        <v>4</v>
      </c>
      <c r="K116" t="s">
        <v>103</v>
      </c>
      <c r="L116">
        <v>3</v>
      </c>
      <c r="M116" t="s">
        <v>40</v>
      </c>
      <c r="N116">
        <v>58</v>
      </c>
      <c r="O116">
        <v>3</v>
      </c>
      <c r="P116">
        <v>2</v>
      </c>
      <c r="Q116" t="s">
        <v>80</v>
      </c>
      <c r="R116">
        <v>3</v>
      </c>
      <c r="S116" t="s">
        <v>42</v>
      </c>
      <c r="T116">
        <v>5795</v>
      </c>
      <c r="U116">
        <v>16389</v>
      </c>
      <c r="V116">
        <v>3</v>
      </c>
      <c r="W116" t="s">
        <v>43</v>
      </c>
      <c r="X116">
        <v>13</v>
      </c>
      <c r="Y116">
        <v>3</v>
      </c>
      <c r="Z116">
        <v>2</v>
      </c>
      <c r="AA116">
        <v>2</v>
      </c>
      <c r="AB116">
        <v>8</v>
      </c>
      <c r="AC116">
        <v>4</v>
      </c>
      <c r="AD116">
        <v>2</v>
      </c>
      <c r="AE116">
        <v>5</v>
      </c>
      <c r="AF116">
        <v>2</v>
      </c>
      <c r="AG116">
        <v>0</v>
      </c>
      <c r="AH116">
        <v>2</v>
      </c>
    </row>
    <row r="117" spans="1:34" x14ac:dyDescent="0.35">
      <c r="A117" t="s">
        <v>177</v>
      </c>
      <c r="B117">
        <v>41</v>
      </c>
      <c r="C117" t="str">
        <f t="shared" si="1"/>
        <v>35-44</v>
      </c>
      <c r="D117" t="s">
        <v>35</v>
      </c>
      <c r="E117" t="s">
        <v>36</v>
      </c>
      <c r="F117" t="s">
        <v>37</v>
      </c>
      <c r="G117">
        <v>398</v>
      </c>
      <c r="H117" t="s">
        <v>38</v>
      </c>
      <c r="I117">
        <v>1</v>
      </c>
      <c r="J117">
        <v>2</v>
      </c>
      <c r="K117" t="s">
        <v>64</v>
      </c>
      <c r="L117">
        <v>3</v>
      </c>
      <c r="M117" t="s">
        <v>40</v>
      </c>
      <c r="N117">
        <v>57</v>
      </c>
      <c r="O117">
        <v>3</v>
      </c>
      <c r="P117">
        <v>2</v>
      </c>
      <c r="Q117" t="s">
        <v>41</v>
      </c>
      <c r="R117">
        <v>3</v>
      </c>
      <c r="S117" t="s">
        <v>49</v>
      </c>
      <c r="T117">
        <v>7356</v>
      </c>
      <c r="U117">
        <v>22616</v>
      </c>
      <c r="V117">
        <v>1</v>
      </c>
      <c r="W117" t="s">
        <v>43</v>
      </c>
      <c r="X117">
        <v>11</v>
      </c>
      <c r="Y117">
        <v>3</v>
      </c>
      <c r="Z117">
        <v>2</v>
      </c>
      <c r="AA117">
        <v>0</v>
      </c>
      <c r="AB117">
        <v>19</v>
      </c>
      <c r="AC117">
        <v>0</v>
      </c>
      <c r="AD117">
        <v>3</v>
      </c>
      <c r="AE117">
        <v>2</v>
      </c>
      <c r="AF117">
        <v>1</v>
      </c>
      <c r="AG117">
        <v>1</v>
      </c>
      <c r="AH117">
        <v>2</v>
      </c>
    </row>
    <row r="118" spans="1:34" x14ac:dyDescent="0.35">
      <c r="A118" t="s">
        <v>178</v>
      </c>
      <c r="B118">
        <v>45</v>
      </c>
      <c r="C118" t="str">
        <f t="shared" si="1"/>
        <v>45-54</v>
      </c>
      <c r="D118" t="s">
        <v>35</v>
      </c>
      <c r="E118" t="s">
        <v>36</v>
      </c>
      <c r="F118" t="s">
        <v>37</v>
      </c>
      <c r="G118">
        <v>359</v>
      </c>
      <c r="H118" t="s">
        <v>38</v>
      </c>
      <c r="I118">
        <v>3</v>
      </c>
      <c r="J118">
        <v>4</v>
      </c>
      <c r="K118" t="s">
        <v>64</v>
      </c>
      <c r="L118">
        <v>4</v>
      </c>
      <c r="M118" t="s">
        <v>51</v>
      </c>
      <c r="N118">
        <v>78</v>
      </c>
      <c r="O118">
        <v>3</v>
      </c>
      <c r="P118">
        <v>2</v>
      </c>
      <c r="Q118" t="s">
        <v>48</v>
      </c>
      <c r="R118">
        <v>2</v>
      </c>
      <c r="S118" t="s">
        <v>56</v>
      </c>
      <c r="T118">
        <v>6481</v>
      </c>
      <c r="U118">
        <v>16342</v>
      </c>
      <c r="V118">
        <v>3</v>
      </c>
      <c r="W118" t="s">
        <v>43</v>
      </c>
      <c r="X118">
        <v>19</v>
      </c>
      <c r="Y118">
        <v>3</v>
      </c>
      <c r="Z118">
        <v>1</v>
      </c>
      <c r="AA118">
        <v>1</v>
      </c>
      <c r="AB118">
        <v>19</v>
      </c>
      <c r="AC118">
        <v>3</v>
      </c>
      <c r="AD118">
        <v>3</v>
      </c>
      <c r="AE118">
        <v>6</v>
      </c>
      <c r="AF118">
        <v>1</v>
      </c>
      <c r="AG118">
        <v>0</v>
      </c>
      <c r="AH118">
        <v>3</v>
      </c>
    </row>
    <row r="119" spans="1:34" x14ac:dyDescent="0.35">
      <c r="A119" t="s">
        <v>179</v>
      </c>
      <c r="B119">
        <v>26</v>
      </c>
      <c r="C119" t="str">
        <f t="shared" si="1"/>
        <v>25-34</v>
      </c>
      <c r="D119" t="s">
        <v>43</v>
      </c>
      <c r="E119" t="s">
        <v>45</v>
      </c>
      <c r="F119" t="s">
        <v>37</v>
      </c>
      <c r="G119">
        <v>919</v>
      </c>
      <c r="H119" t="s">
        <v>99</v>
      </c>
      <c r="I119">
        <v>8</v>
      </c>
      <c r="J119">
        <v>3</v>
      </c>
      <c r="K119" t="s">
        <v>47</v>
      </c>
      <c r="L119">
        <v>4</v>
      </c>
      <c r="M119" t="s">
        <v>40</v>
      </c>
      <c r="N119">
        <v>62</v>
      </c>
      <c r="O119">
        <v>2</v>
      </c>
      <c r="P119">
        <v>1</v>
      </c>
      <c r="Q119" t="s">
        <v>48</v>
      </c>
      <c r="R119">
        <v>2</v>
      </c>
      <c r="S119" t="s">
        <v>56</v>
      </c>
      <c r="T119">
        <v>2182</v>
      </c>
      <c r="U119">
        <v>4560</v>
      </c>
      <c r="V119">
        <v>4</v>
      </c>
      <c r="W119" t="s">
        <v>43</v>
      </c>
      <c r="X119">
        <v>20</v>
      </c>
      <c r="Y119">
        <v>3</v>
      </c>
      <c r="Z119">
        <v>1</v>
      </c>
      <c r="AA119">
        <v>0</v>
      </c>
      <c r="AB119">
        <v>0</v>
      </c>
      <c r="AC119">
        <v>1</v>
      </c>
      <c r="AD119">
        <v>3</v>
      </c>
      <c r="AE119">
        <v>0</v>
      </c>
      <c r="AF119">
        <v>0</v>
      </c>
      <c r="AG119">
        <v>0</v>
      </c>
      <c r="AH119">
        <v>0</v>
      </c>
    </row>
    <row r="120" spans="1:34" x14ac:dyDescent="0.35">
      <c r="A120" t="s">
        <v>180</v>
      </c>
      <c r="B120">
        <v>44</v>
      </c>
      <c r="C120" t="str">
        <f t="shared" si="1"/>
        <v>35-44</v>
      </c>
      <c r="D120" t="s">
        <v>35</v>
      </c>
      <c r="E120" t="s">
        <v>36</v>
      </c>
      <c r="F120" t="s">
        <v>37</v>
      </c>
      <c r="G120">
        <v>1213</v>
      </c>
      <c r="H120" t="s">
        <v>46</v>
      </c>
      <c r="I120">
        <v>4</v>
      </c>
      <c r="J120">
        <v>2</v>
      </c>
      <c r="K120" t="s">
        <v>69</v>
      </c>
      <c r="L120">
        <v>4</v>
      </c>
      <c r="M120" t="s">
        <v>40</v>
      </c>
      <c r="N120">
        <v>82</v>
      </c>
      <c r="O120">
        <v>1</v>
      </c>
      <c r="P120">
        <v>2</v>
      </c>
      <c r="Q120" t="s">
        <v>48</v>
      </c>
      <c r="R120">
        <v>3</v>
      </c>
      <c r="S120" t="s">
        <v>42</v>
      </c>
      <c r="T120">
        <v>8675</v>
      </c>
      <c r="U120">
        <v>3478</v>
      </c>
      <c r="V120">
        <v>2</v>
      </c>
      <c r="W120" t="s">
        <v>35</v>
      </c>
      <c r="X120">
        <v>16</v>
      </c>
      <c r="Y120">
        <v>3</v>
      </c>
      <c r="Z120">
        <v>3</v>
      </c>
      <c r="AA120">
        <v>1</v>
      </c>
      <c r="AB120">
        <v>22</v>
      </c>
      <c r="AC120">
        <v>3</v>
      </c>
      <c r="AD120">
        <v>4</v>
      </c>
      <c r="AE120">
        <v>5</v>
      </c>
      <c r="AF120">
        <v>0</v>
      </c>
      <c r="AG120">
        <v>5</v>
      </c>
      <c r="AH120">
        <v>4</v>
      </c>
    </row>
    <row r="121" spans="1:34" x14ac:dyDescent="0.35">
      <c r="A121" t="s">
        <v>181</v>
      </c>
      <c r="B121">
        <v>44</v>
      </c>
      <c r="C121" t="str">
        <f t="shared" si="1"/>
        <v>35-44</v>
      </c>
      <c r="D121" t="s">
        <v>35</v>
      </c>
      <c r="E121" t="s">
        <v>36</v>
      </c>
      <c r="F121" t="s">
        <v>37</v>
      </c>
      <c r="G121">
        <v>1221</v>
      </c>
      <c r="H121" t="s">
        <v>38</v>
      </c>
      <c r="I121">
        <v>7</v>
      </c>
      <c r="J121">
        <v>3</v>
      </c>
      <c r="K121" t="s">
        <v>39</v>
      </c>
      <c r="L121">
        <v>3</v>
      </c>
      <c r="M121" t="s">
        <v>40</v>
      </c>
      <c r="N121">
        <v>51</v>
      </c>
      <c r="O121">
        <v>3</v>
      </c>
      <c r="P121">
        <v>1</v>
      </c>
      <c r="Q121" t="s">
        <v>48</v>
      </c>
      <c r="R121">
        <v>3</v>
      </c>
      <c r="S121" t="s">
        <v>42</v>
      </c>
      <c r="T121">
        <v>5218</v>
      </c>
      <c r="U121">
        <v>19857</v>
      </c>
      <c r="V121">
        <v>4</v>
      </c>
      <c r="W121" t="s">
        <v>35</v>
      </c>
      <c r="X121">
        <v>12</v>
      </c>
      <c r="Y121">
        <v>3</v>
      </c>
      <c r="Z121">
        <v>2</v>
      </c>
      <c r="AA121">
        <v>2</v>
      </c>
      <c r="AB121">
        <v>21</v>
      </c>
      <c r="AC121">
        <v>6</v>
      </c>
      <c r="AD121">
        <v>1</v>
      </c>
      <c r="AE121">
        <v>0</v>
      </c>
      <c r="AF121">
        <v>0</v>
      </c>
      <c r="AG121">
        <v>0</v>
      </c>
      <c r="AH121">
        <v>0</v>
      </c>
    </row>
    <row r="122" spans="1:34" x14ac:dyDescent="0.35">
      <c r="A122" t="s">
        <v>182</v>
      </c>
      <c r="B122">
        <v>35</v>
      </c>
      <c r="C122" t="str">
        <f t="shared" si="1"/>
        <v>35-44</v>
      </c>
      <c r="D122" t="s">
        <v>35</v>
      </c>
      <c r="E122" t="s">
        <v>36</v>
      </c>
      <c r="F122" t="s">
        <v>37</v>
      </c>
      <c r="G122">
        <v>1456</v>
      </c>
      <c r="H122" t="s">
        <v>46</v>
      </c>
      <c r="I122">
        <v>1</v>
      </c>
      <c r="J122">
        <v>3</v>
      </c>
      <c r="K122" t="s">
        <v>47</v>
      </c>
      <c r="L122">
        <v>4</v>
      </c>
      <c r="M122" t="s">
        <v>40</v>
      </c>
      <c r="N122">
        <v>96</v>
      </c>
      <c r="O122">
        <v>3</v>
      </c>
      <c r="P122">
        <v>1</v>
      </c>
      <c r="Q122" t="s">
        <v>48</v>
      </c>
      <c r="R122">
        <v>4</v>
      </c>
      <c r="S122" t="s">
        <v>42</v>
      </c>
      <c r="T122">
        <v>4958</v>
      </c>
      <c r="U122">
        <v>21951</v>
      </c>
      <c r="V122">
        <v>2</v>
      </c>
      <c r="W122" t="s">
        <v>35</v>
      </c>
      <c r="X122">
        <v>12</v>
      </c>
      <c r="Y122">
        <v>4</v>
      </c>
      <c r="Z122">
        <v>4</v>
      </c>
      <c r="AA122">
        <v>0</v>
      </c>
      <c r="AB122">
        <v>11</v>
      </c>
      <c r="AC122">
        <v>1</v>
      </c>
      <c r="AD122">
        <v>3</v>
      </c>
      <c r="AE122">
        <v>3</v>
      </c>
      <c r="AF122">
        <v>2</v>
      </c>
      <c r="AG122">
        <v>1</v>
      </c>
      <c r="AH122">
        <v>1</v>
      </c>
    </row>
    <row r="123" spans="1:34" x14ac:dyDescent="0.35">
      <c r="A123" t="s">
        <v>183</v>
      </c>
      <c r="B123">
        <v>42</v>
      </c>
      <c r="C123" t="str">
        <f t="shared" si="1"/>
        <v>35-44</v>
      </c>
      <c r="D123" t="s">
        <v>35</v>
      </c>
      <c r="E123" t="s">
        <v>36</v>
      </c>
      <c r="F123" t="s">
        <v>37</v>
      </c>
      <c r="G123">
        <v>1091</v>
      </c>
      <c r="H123" t="s">
        <v>38</v>
      </c>
      <c r="I123">
        <v>10</v>
      </c>
      <c r="J123">
        <v>4</v>
      </c>
      <c r="K123" t="s">
        <v>47</v>
      </c>
      <c r="L123">
        <v>3</v>
      </c>
      <c r="M123" t="s">
        <v>51</v>
      </c>
      <c r="N123">
        <v>97</v>
      </c>
      <c r="O123">
        <v>2</v>
      </c>
      <c r="P123">
        <v>1</v>
      </c>
      <c r="Q123" t="s">
        <v>52</v>
      </c>
      <c r="R123">
        <v>4</v>
      </c>
      <c r="S123" t="s">
        <v>42</v>
      </c>
      <c r="T123">
        <v>5371</v>
      </c>
      <c r="U123">
        <v>19197</v>
      </c>
      <c r="V123">
        <v>2</v>
      </c>
      <c r="W123" t="s">
        <v>43</v>
      </c>
      <c r="X123">
        <v>20</v>
      </c>
      <c r="Y123">
        <v>4</v>
      </c>
      <c r="Z123">
        <v>1</v>
      </c>
      <c r="AA123">
        <v>3</v>
      </c>
      <c r="AB123">
        <v>21</v>
      </c>
      <c r="AC123">
        <v>0</v>
      </c>
      <c r="AD123">
        <v>3</v>
      </c>
      <c r="AE123">
        <v>0</v>
      </c>
      <c r="AF123">
        <v>0</v>
      </c>
      <c r="AG123">
        <v>0</v>
      </c>
      <c r="AH123">
        <v>0</v>
      </c>
    </row>
    <row r="124" spans="1:34" x14ac:dyDescent="0.35">
      <c r="A124" t="s">
        <v>184</v>
      </c>
      <c r="B124">
        <v>34</v>
      </c>
      <c r="C124" t="str">
        <f t="shared" si="1"/>
        <v>25-34</v>
      </c>
      <c r="D124" t="s">
        <v>35</v>
      </c>
      <c r="E124" t="s">
        <v>36</v>
      </c>
      <c r="F124" t="s">
        <v>37</v>
      </c>
      <c r="G124">
        <v>798</v>
      </c>
      <c r="H124" t="s">
        <v>46</v>
      </c>
      <c r="I124">
        <v>14</v>
      </c>
      <c r="J124">
        <v>3</v>
      </c>
      <c r="K124" t="s">
        <v>69</v>
      </c>
      <c r="L124">
        <v>4</v>
      </c>
      <c r="M124" t="s">
        <v>51</v>
      </c>
      <c r="N124">
        <v>62</v>
      </c>
      <c r="O124">
        <v>3</v>
      </c>
      <c r="P124">
        <v>1</v>
      </c>
      <c r="Q124" t="s">
        <v>65</v>
      </c>
      <c r="R124">
        <v>3</v>
      </c>
      <c r="S124" t="s">
        <v>49</v>
      </c>
      <c r="T124">
        <v>4205</v>
      </c>
      <c r="U124">
        <v>4962</v>
      </c>
      <c r="V124">
        <v>4</v>
      </c>
      <c r="W124" t="s">
        <v>35</v>
      </c>
      <c r="X124">
        <v>17</v>
      </c>
      <c r="Y124">
        <v>4</v>
      </c>
      <c r="Z124">
        <v>3</v>
      </c>
      <c r="AA124">
        <v>1</v>
      </c>
      <c r="AB124">
        <v>10</v>
      </c>
      <c r="AC124">
        <v>1</v>
      </c>
      <c r="AD124">
        <v>3</v>
      </c>
      <c r="AE124">
        <v>2</v>
      </c>
      <c r="AF124">
        <v>2</v>
      </c>
      <c r="AG124">
        <v>2</v>
      </c>
      <c r="AH124">
        <v>2</v>
      </c>
    </row>
    <row r="125" spans="1:34" x14ac:dyDescent="0.35">
      <c r="A125" t="s">
        <v>185</v>
      </c>
      <c r="B125">
        <v>41</v>
      </c>
      <c r="C125" t="str">
        <f t="shared" si="1"/>
        <v>35-44</v>
      </c>
      <c r="D125" t="s">
        <v>35</v>
      </c>
      <c r="E125" t="s">
        <v>36</v>
      </c>
      <c r="F125" t="s">
        <v>37</v>
      </c>
      <c r="G125">
        <v>1211</v>
      </c>
      <c r="H125" t="s">
        <v>38</v>
      </c>
      <c r="I125">
        <v>2</v>
      </c>
      <c r="J125">
        <v>3</v>
      </c>
      <c r="K125" t="s">
        <v>64</v>
      </c>
      <c r="L125">
        <v>4</v>
      </c>
      <c r="M125" t="s">
        <v>40</v>
      </c>
      <c r="N125">
        <v>76</v>
      </c>
      <c r="O125">
        <v>2</v>
      </c>
      <c r="P125">
        <v>2</v>
      </c>
      <c r="Q125" t="s">
        <v>62</v>
      </c>
      <c r="R125">
        <v>3</v>
      </c>
      <c r="S125" t="s">
        <v>42</v>
      </c>
      <c r="T125">
        <v>6733</v>
      </c>
      <c r="U125">
        <v>6530</v>
      </c>
      <c r="V125">
        <v>2</v>
      </c>
      <c r="W125" t="s">
        <v>35</v>
      </c>
      <c r="X125">
        <v>12</v>
      </c>
      <c r="Y125">
        <v>3</v>
      </c>
      <c r="Z125">
        <v>3</v>
      </c>
      <c r="AA125">
        <v>0</v>
      </c>
      <c r="AB125">
        <v>22</v>
      </c>
      <c r="AC125">
        <v>4</v>
      </c>
      <c r="AD125">
        <v>2</v>
      </c>
      <c r="AE125">
        <v>7</v>
      </c>
      <c r="AF125">
        <v>3</v>
      </c>
      <c r="AG125">
        <v>1</v>
      </c>
      <c r="AH125">
        <v>7</v>
      </c>
    </row>
    <row r="126" spans="1:34" x14ac:dyDescent="0.35">
      <c r="A126" t="s">
        <v>186</v>
      </c>
      <c r="B126">
        <v>36</v>
      </c>
      <c r="C126" t="str">
        <f t="shared" si="1"/>
        <v>35-44</v>
      </c>
      <c r="D126" t="s">
        <v>35</v>
      </c>
      <c r="E126" t="s">
        <v>36</v>
      </c>
      <c r="F126" t="s">
        <v>37</v>
      </c>
      <c r="G126">
        <v>444</v>
      </c>
      <c r="H126" t="s">
        <v>38</v>
      </c>
      <c r="I126">
        <v>22</v>
      </c>
      <c r="J126">
        <v>3</v>
      </c>
      <c r="K126" t="s">
        <v>69</v>
      </c>
      <c r="L126">
        <v>2</v>
      </c>
      <c r="M126" t="s">
        <v>40</v>
      </c>
      <c r="N126">
        <v>45</v>
      </c>
      <c r="O126">
        <v>3</v>
      </c>
      <c r="P126">
        <v>1</v>
      </c>
      <c r="Q126" t="s">
        <v>52</v>
      </c>
      <c r="R126">
        <v>2</v>
      </c>
      <c r="S126" t="s">
        <v>49</v>
      </c>
      <c r="T126">
        <v>5241</v>
      </c>
      <c r="U126">
        <v>2220</v>
      </c>
      <c r="V126">
        <v>4</v>
      </c>
      <c r="W126" t="s">
        <v>35</v>
      </c>
      <c r="X126">
        <v>18</v>
      </c>
      <c r="Y126">
        <v>3</v>
      </c>
      <c r="Z126">
        <v>2</v>
      </c>
      <c r="AA126">
        <v>2</v>
      </c>
      <c r="AB126">
        <v>13</v>
      </c>
      <c r="AC126">
        <v>4</v>
      </c>
      <c r="AD126">
        <v>3</v>
      </c>
      <c r="AE126">
        <v>1</v>
      </c>
      <c r="AF126">
        <v>1</v>
      </c>
      <c r="AG126">
        <v>0</v>
      </c>
      <c r="AH126">
        <v>1</v>
      </c>
    </row>
    <row r="127" spans="1:34" x14ac:dyDescent="0.35">
      <c r="A127" t="s">
        <v>187</v>
      </c>
      <c r="B127">
        <v>37</v>
      </c>
      <c r="C127" t="str">
        <f t="shared" si="1"/>
        <v>35-44</v>
      </c>
      <c r="D127" t="s">
        <v>35</v>
      </c>
      <c r="E127" t="s">
        <v>36</v>
      </c>
      <c r="F127" t="s">
        <v>37</v>
      </c>
      <c r="G127">
        <v>887</v>
      </c>
      <c r="H127" t="s">
        <v>46</v>
      </c>
      <c r="I127">
        <v>1</v>
      </c>
      <c r="J127">
        <v>4</v>
      </c>
      <c r="K127" t="s">
        <v>69</v>
      </c>
      <c r="L127">
        <v>4</v>
      </c>
      <c r="M127" t="s">
        <v>40</v>
      </c>
      <c r="N127">
        <v>47</v>
      </c>
      <c r="O127">
        <v>3</v>
      </c>
      <c r="P127">
        <v>2</v>
      </c>
      <c r="Q127" t="s">
        <v>48</v>
      </c>
      <c r="R127">
        <v>2</v>
      </c>
      <c r="S127" t="s">
        <v>42</v>
      </c>
      <c r="T127">
        <v>6643</v>
      </c>
      <c r="U127">
        <v>19006</v>
      </c>
      <c r="V127">
        <v>0</v>
      </c>
      <c r="W127" t="s">
        <v>35</v>
      </c>
      <c r="X127">
        <v>18</v>
      </c>
      <c r="Y127">
        <v>3</v>
      </c>
      <c r="Z127">
        <v>2</v>
      </c>
      <c r="AA127">
        <v>1</v>
      </c>
      <c r="AB127">
        <v>12</v>
      </c>
      <c r="AC127">
        <v>5</v>
      </c>
      <c r="AD127">
        <v>2</v>
      </c>
      <c r="AE127">
        <v>6</v>
      </c>
      <c r="AF127">
        <v>3</v>
      </c>
      <c r="AG127">
        <v>3</v>
      </c>
      <c r="AH127">
        <v>6</v>
      </c>
    </row>
    <row r="128" spans="1:34" x14ac:dyDescent="0.35">
      <c r="A128" t="s">
        <v>188</v>
      </c>
      <c r="B128">
        <v>55</v>
      </c>
      <c r="C128" t="str">
        <f t="shared" si="1"/>
        <v>55+</v>
      </c>
      <c r="D128" t="s">
        <v>35</v>
      </c>
      <c r="E128" t="s">
        <v>36</v>
      </c>
      <c r="F128" t="s">
        <v>54</v>
      </c>
      <c r="G128">
        <v>831</v>
      </c>
      <c r="H128" t="s">
        <v>46</v>
      </c>
      <c r="I128">
        <v>3</v>
      </c>
      <c r="J128">
        <v>1</v>
      </c>
      <c r="K128" t="s">
        <v>64</v>
      </c>
      <c r="L128">
        <v>2</v>
      </c>
      <c r="M128" t="s">
        <v>51</v>
      </c>
      <c r="N128">
        <v>99</v>
      </c>
      <c r="O128">
        <v>3</v>
      </c>
      <c r="P128">
        <v>1</v>
      </c>
      <c r="Q128" t="s">
        <v>80</v>
      </c>
      <c r="R128">
        <v>2</v>
      </c>
      <c r="S128" t="s">
        <v>49</v>
      </c>
      <c r="T128">
        <v>6867</v>
      </c>
      <c r="U128">
        <v>13970</v>
      </c>
      <c r="V128">
        <v>1</v>
      </c>
      <c r="W128" t="s">
        <v>35</v>
      </c>
      <c r="X128">
        <v>16</v>
      </c>
      <c r="Y128">
        <v>3</v>
      </c>
      <c r="Z128">
        <v>4</v>
      </c>
      <c r="AA128">
        <v>0</v>
      </c>
      <c r="AB128">
        <v>33</v>
      </c>
      <c r="AC128">
        <v>3</v>
      </c>
      <c r="AD128">
        <v>4</v>
      </c>
      <c r="AE128">
        <v>2</v>
      </c>
      <c r="AF128">
        <v>2</v>
      </c>
      <c r="AG128">
        <v>0</v>
      </c>
      <c r="AH128">
        <v>0</v>
      </c>
    </row>
    <row r="129" spans="1:34" x14ac:dyDescent="0.35">
      <c r="A129" t="s">
        <v>189</v>
      </c>
      <c r="B129">
        <v>35</v>
      </c>
      <c r="C129" t="str">
        <f t="shared" si="1"/>
        <v>35-44</v>
      </c>
      <c r="D129" t="s">
        <v>35</v>
      </c>
      <c r="E129" t="s">
        <v>36</v>
      </c>
      <c r="F129" t="s">
        <v>37</v>
      </c>
      <c r="G129">
        <v>785</v>
      </c>
      <c r="H129" t="s">
        <v>38</v>
      </c>
      <c r="I129">
        <v>2</v>
      </c>
      <c r="J129">
        <v>1</v>
      </c>
      <c r="K129" t="s">
        <v>39</v>
      </c>
      <c r="L129">
        <v>4</v>
      </c>
      <c r="M129" t="s">
        <v>40</v>
      </c>
      <c r="N129">
        <v>53</v>
      </c>
      <c r="O129">
        <v>3</v>
      </c>
      <c r="P129">
        <v>2</v>
      </c>
      <c r="Q129" t="s">
        <v>52</v>
      </c>
      <c r="R129">
        <v>1</v>
      </c>
      <c r="S129" t="s">
        <v>42</v>
      </c>
      <c r="T129">
        <v>5814</v>
      </c>
      <c r="U129">
        <v>12570</v>
      </c>
      <c r="V129">
        <v>4</v>
      </c>
      <c r="W129" t="s">
        <v>35</v>
      </c>
      <c r="X129">
        <v>19</v>
      </c>
      <c r="Y129">
        <v>3</v>
      </c>
      <c r="Z129">
        <v>4</v>
      </c>
      <c r="AA129">
        <v>1</v>
      </c>
      <c r="AB129">
        <v>13</v>
      </c>
      <c r="AC129">
        <v>1</v>
      </c>
      <c r="AD129">
        <v>3</v>
      </c>
      <c r="AE129">
        <v>2</v>
      </c>
      <c r="AF129">
        <v>2</v>
      </c>
      <c r="AG129">
        <v>2</v>
      </c>
      <c r="AH129">
        <v>1</v>
      </c>
    </row>
    <row r="130" spans="1:34" x14ac:dyDescent="0.35">
      <c r="A130" t="s">
        <v>190</v>
      </c>
      <c r="B130">
        <v>30</v>
      </c>
      <c r="C130" t="str">
        <f t="shared" si="1"/>
        <v>25-34</v>
      </c>
      <c r="D130" t="s">
        <v>35</v>
      </c>
      <c r="E130" t="s">
        <v>36</v>
      </c>
      <c r="F130" t="s">
        <v>37</v>
      </c>
      <c r="G130">
        <v>1491</v>
      </c>
      <c r="H130" t="s">
        <v>38</v>
      </c>
      <c r="I130">
        <v>15</v>
      </c>
      <c r="J130">
        <v>3</v>
      </c>
      <c r="K130" t="s">
        <v>39</v>
      </c>
      <c r="L130">
        <v>1</v>
      </c>
      <c r="M130" t="s">
        <v>51</v>
      </c>
      <c r="N130">
        <v>90</v>
      </c>
      <c r="O130">
        <v>2</v>
      </c>
      <c r="P130">
        <v>2</v>
      </c>
      <c r="Q130" t="s">
        <v>48</v>
      </c>
      <c r="R130">
        <v>4</v>
      </c>
      <c r="S130" t="s">
        <v>49</v>
      </c>
      <c r="T130">
        <v>5671</v>
      </c>
      <c r="U130">
        <v>17454</v>
      </c>
      <c r="V130">
        <v>5</v>
      </c>
      <c r="W130" t="s">
        <v>43</v>
      </c>
      <c r="X130">
        <v>11</v>
      </c>
      <c r="Y130">
        <v>4</v>
      </c>
      <c r="Z130">
        <v>3</v>
      </c>
      <c r="AA130">
        <v>2</v>
      </c>
      <c r="AB130">
        <v>8</v>
      </c>
      <c r="AC130">
        <v>2</v>
      </c>
      <c r="AD130">
        <v>3</v>
      </c>
      <c r="AE130">
        <v>8</v>
      </c>
      <c r="AF130">
        <v>0</v>
      </c>
      <c r="AG130">
        <v>0</v>
      </c>
      <c r="AH130">
        <v>0</v>
      </c>
    </row>
    <row r="131" spans="1:34" x14ac:dyDescent="0.35">
      <c r="A131" t="s">
        <v>191</v>
      </c>
      <c r="B131">
        <v>38</v>
      </c>
      <c r="C131" t="str">
        <f t="shared" ref="C131:C194" si="2">IF(B131&lt;=25,"under 25",IF(B131&lt;=34,"25-34",IF(B131&lt;=44,"35-44",IF(B131&lt;=54,"45-54","55+"))))</f>
        <v>35-44</v>
      </c>
      <c r="D131" t="s">
        <v>35</v>
      </c>
      <c r="E131" t="s">
        <v>36</v>
      </c>
      <c r="F131" t="s">
        <v>37</v>
      </c>
      <c r="G131">
        <v>947</v>
      </c>
      <c r="H131" t="s">
        <v>46</v>
      </c>
      <c r="I131">
        <v>1</v>
      </c>
      <c r="J131">
        <v>1</v>
      </c>
      <c r="K131" t="s">
        <v>64</v>
      </c>
      <c r="L131">
        <v>2</v>
      </c>
      <c r="M131" t="s">
        <v>40</v>
      </c>
      <c r="N131">
        <v>87</v>
      </c>
      <c r="O131">
        <v>2</v>
      </c>
      <c r="P131">
        <v>2</v>
      </c>
      <c r="Q131" t="s">
        <v>80</v>
      </c>
      <c r="R131">
        <v>1</v>
      </c>
      <c r="S131" t="s">
        <v>42</v>
      </c>
      <c r="T131">
        <v>5981</v>
      </c>
      <c r="U131">
        <v>20934</v>
      </c>
      <c r="V131">
        <v>4</v>
      </c>
      <c r="W131" t="s">
        <v>43</v>
      </c>
      <c r="X131">
        <v>16</v>
      </c>
      <c r="Y131">
        <v>4</v>
      </c>
      <c r="Z131">
        <v>2</v>
      </c>
      <c r="AA131">
        <v>1</v>
      </c>
      <c r="AB131">
        <v>12</v>
      </c>
      <c r="AC131">
        <v>4</v>
      </c>
      <c r="AD131">
        <v>3</v>
      </c>
      <c r="AE131">
        <v>3</v>
      </c>
      <c r="AF131">
        <v>0</v>
      </c>
      <c r="AG131">
        <v>1</v>
      </c>
      <c r="AH131">
        <v>1</v>
      </c>
    </row>
    <row r="132" spans="1:34" x14ac:dyDescent="0.35">
      <c r="A132" t="s">
        <v>192</v>
      </c>
      <c r="B132">
        <v>38</v>
      </c>
      <c r="C132" t="str">
        <f t="shared" si="2"/>
        <v>35-44</v>
      </c>
      <c r="D132" t="s">
        <v>35</v>
      </c>
      <c r="E132" t="s">
        <v>36</v>
      </c>
      <c r="F132" t="s">
        <v>37</v>
      </c>
      <c r="G132">
        <v>1072</v>
      </c>
      <c r="H132" t="s">
        <v>38</v>
      </c>
      <c r="I132">
        <v>3</v>
      </c>
      <c r="J132">
        <v>3</v>
      </c>
      <c r="K132" t="s">
        <v>69</v>
      </c>
      <c r="L132">
        <v>1</v>
      </c>
      <c r="M132" t="s">
        <v>51</v>
      </c>
      <c r="N132">
        <v>72</v>
      </c>
      <c r="O132">
        <v>2</v>
      </c>
      <c r="P132">
        <v>2</v>
      </c>
      <c r="Q132" t="s">
        <v>48</v>
      </c>
      <c r="R132">
        <v>4</v>
      </c>
      <c r="S132" t="s">
        <v>49</v>
      </c>
      <c r="T132">
        <v>8152</v>
      </c>
      <c r="U132">
        <v>18678</v>
      </c>
      <c r="V132">
        <v>0</v>
      </c>
      <c r="W132" t="s">
        <v>35</v>
      </c>
      <c r="X132">
        <v>13</v>
      </c>
      <c r="Y132">
        <v>3</v>
      </c>
      <c r="Z132">
        <v>2</v>
      </c>
      <c r="AA132">
        <v>2</v>
      </c>
      <c r="AB132">
        <v>15</v>
      </c>
      <c r="AC132">
        <v>3</v>
      </c>
      <c r="AD132">
        <v>3</v>
      </c>
      <c r="AE132">
        <v>2</v>
      </c>
      <c r="AF132">
        <v>2</v>
      </c>
      <c r="AG132">
        <v>2</v>
      </c>
      <c r="AH132">
        <v>0</v>
      </c>
    </row>
    <row r="133" spans="1:34" x14ac:dyDescent="0.35">
      <c r="A133" t="s">
        <v>193</v>
      </c>
      <c r="B133">
        <v>39</v>
      </c>
      <c r="C133" t="str">
        <f t="shared" si="2"/>
        <v>35-44</v>
      </c>
      <c r="D133" t="s">
        <v>35</v>
      </c>
      <c r="E133" t="s">
        <v>36</v>
      </c>
      <c r="F133" t="s">
        <v>59</v>
      </c>
      <c r="G133">
        <v>558</v>
      </c>
      <c r="H133" t="s">
        <v>38</v>
      </c>
      <c r="I133">
        <v>1</v>
      </c>
      <c r="J133">
        <v>2</v>
      </c>
      <c r="K133" t="s">
        <v>39</v>
      </c>
      <c r="L133">
        <v>4</v>
      </c>
      <c r="M133" t="s">
        <v>51</v>
      </c>
      <c r="N133">
        <v>58</v>
      </c>
      <c r="O133">
        <v>1</v>
      </c>
      <c r="P133">
        <v>3</v>
      </c>
      <c r="Q133" t="s">
        <v>60</v>
      </c>
      <c r="R133">
        <v>4</v>
      </c>
      <c r="S133" t="s">
        <v>49</v>
      </c>
      <c r="T133">
        <v>7826</v>
      </c>
      <c r="U133">
        <v>8568</v>
      </c>
      <c r="V133">
        <v>2</v>
      </c>
      <c r="W133" t="s">
        <v>35</v>
      </c>
      <c r="X133">
        <v>11</v>
      </c>
      <c r="Y133">
        <v>3</v>
      </c>
      <c r="Z133">
        <v>2</v>
      </c>
      <c r="AA133">
        <v>1</v>
      </c>
      <c r="AB133">
        <v>13</v>
      </c>
      <c r="AC133">
        <v>5</v>
      </c>
      <c r="AD133">
        <v>3</v>
      </c>
      <c r="AE133">
        <v>13</v>
      </c>
      <c r="AF133">
        <v>0</v>
      </c>
      <c r="AG133">
        <v>9</v>
      </c>
      <c r="AH133">
        <v>9</v>
      </c>
    </row>
    <row r="134" spans="1:34" x14ac:dyDescent="0.35">
      <c r="A134" t="s">
        <v>194</v>
      </c>
      <c r="B134">
        <v>36</v>
      </c>
      <c r="C134" t="str">
        <f t="shared" si="2"/>
        <v>35-44</v>
      </c>
      <c r="D134" t="s">
        <v>35</v>
      </c>
      <c r="E134" t="s">
        <v>36</v>
      </c>
      <c r="F134" t="s">
        <v>37</v>
      </c>
      <c r="G134">
        <v>751</v>
      </c>
      <c r="H134" t="s">
        <v>38</v>
      </c>
      <c r="I134">
        <v>1</v>
      </c>
      <c r="J134">
        <v>3</v>
      </c>
      <c r="K134" t="s">
        <v>47</v>
      </c>
      <c r="L134">
        <v>2</v>
      </c>
      <c r="M134" t="s">
        <v>51</v>
      </c>
      <c r="N134">
        <v>99</v>
      </c>
      <c r="O134">
        <v>4</v>
      </c>
      <c r="P134">
        <v>1</v>
      </c>
      <c r="Q134" t="s">
        <v>48</v>
      </c>
      <c r="R134">
        <v>3</v>
      </c>
      <c r="S134" t="s">
        <v>42</v>
      </c>
      <c r="T134">
        <v>4633</v>
      </c>
      <c r="U134">
        <v>7269</v>
      </c>
      <c r="V134">
        <v>8</v>
      </c>
      <c r="W134" t="s">
        <v>35</v>
      </c>
      <c r="X134">
        <v>11</v>
      </c>
      <c r="Y134">
        <v>3</v>
      </c>
      <c r="Z134">
        <v>1</v>
      </c>
      <c r="AA134">
        <v>1</v>
      </c>
      <c r="AB134">
        <v>11</v>
      </c>
      <c r="AC134">
        <v>2</v>
      </c>
      <c r="AD134">
        <v>2</v>
      </c>
      <c r="AE134">
        <v>0</v>
      </c>
      <c r="AF134">
        <v>0</v>
      </c>
      <c r="AG134">
        <v>0</v>
      </c>
      <c r="AH134">
        <v>0</v>
      </c>
    </row>
    <row r="135" spans="1:34" x14ac:dyDescent="0.35">
      <c r="A135" t="s">
        <v>195</v>
      </c>
      <c r="B135">
        <v>42</v>
      </c>
      <c r="C135" t="str">
        <f t="shared" si="2"/>
        <v>35-44</v>
      </c>
      <c r="D135" t="s">
        <v>35</v>
      </c>
      <c r="E135" t="s">
        <v>36</v>
      </c>
      <c r="F135" t="s">
        <v>37</v>
      </c>
      <c r="G135">
        <v>617</v>
      </c>
      <c r="H135" t="s">
        <v>46</v>
      </c>
      <c r="I135">
        <v>3</v>
      </c>
      <c r="J135">
        <v>5</v>
      </c>
      <c r="K135" t="s">
        <v>69</v>
      </c>
      <c r="L135">
        <v>3</v>
      </c>
      <c r="M135" t="s">
        <v>40</v>
      </c>
      <c r="N135">
        <v>39</v>
      </c>
      <c r="O135">
        <v>3</v>
      </c>
      <c r="P135">
        <v>2</v>
      </c>
      <c r="Q135" t="s">
        <v>80</v>
      </c>
      <c r="R135">
        <v>3</v>
      </c>
      <c r="S135" t="s">
        <v>49</v>
      </c>
      <c r="T135">
        <v>6280</v>
      </c>
      <c r="U135">
        <v>4630</v>
      </c>
      <c r="V135">
        <v>5</v>
      </c>
      <c r="W135" t="s">
        <v>35</v>
      </c>
      <c r="X135">
        <v>11</v>
      </c>
      <c r="Y135">
        <v>4</v>
      </c>
      <c r="Z135">
        <v>4</v>
      </c>
      <c r="AA135">
        <v>2</v>
      </c>
      <c r="AB135">
        <v>19</v>
      </c>
      <c r="AC135">
        <v>3</v>
      </c>
      <c r="AD135">
        <v>3</v>
      </c>
      <c r="AE135">
        <v>8</v>
      </c>
      <c r="AF135">
        <v>1</v>
      </c>
      <c r="AG135">
        <v>1</v>
      </c>
      <c r="AH135">
        <v>0</v>
      </c>
    </row>
    <row r="136" spans="1:34" x14ac:dyDescent="0.35">
      <c r="A136" t="s">
        <v>196</v>
      </c>
      <c r="B136">
        <v>18</v>
      </c>
      <c r="C136" t="str">
        <f t="shared" si="2"/>
        <v>under 25</v>
      </c>
      <c r="D136" t="s">
        <v>35</v>
      </c>
      <c r="E136" t="s">
        <v>36</v>
      </c>
      <c r="F136" t="s">
        <v>37</v>
      </c>
      <c r="G136">
        <v>827</v>
      </c>
      <c r="H136" t="s">
        <v>46</v>
      </c>
      <c r="I136">
        <v>1</v>
      </c>
      <c r="J136">
        <v>3</v>
      </c>
      <c r="K136" t="s">
        <v>47</v>
      </c>
      <c r="L136">
        <v>3</v>
      </c>
      <c r="M136" t="s">
        <v>40</v>
      </c>
      <c r="N136">
        <v>86</v>
      </c>
      <c r="O136">
        <v>2</v>
      </c>
      <c r="P136">
        <v>1</v>
      </c>
      <c r="Q136" t="s">
        <v>48</v>
      </c>
      <c r="R136">
        <v>4</v>
      </c>
      <c r="S136" t="s">
        <v>49</v>
      </c>
      <c r="T136">
        <v>3993</v>
      </c>
      <c r="U136">
        <v>21585</v>
      </c>
      <c r="V136">
        <v>1</v>
      </c>
      <c r="W136" t="s">
        <v>43</v>
      </c>
      <c r="X136">
        <v>11</v>
      </c>
      <c r="Y136">
        <v>3</v>
      </c>
      <c r="Z136">
        <v>2</v>
      </c>
      <c r="AA136">
        <v>0</v>
      </c>
      <c r="AB136">
        <v>0</v>
      </c>
      <c r="AC136">
        <v>3</v>
      </c>
      <c r="AD136">
        <v>3</v>
      </c>
      <c r="AE136">
        <v>0</v>
      </c>
      <c r="AF136">
        <v>0</v>
      </c>
      <c r="AG136">
        <v>0</v>
      </c>
      <c r="AH136">
        <v>0</v>
      </c>
    </row>
    <row r="137" spans="1:34" x14ac:dyDescent="0.35">
      <c r="A137" t="s">
        <v>197</v>
      </c>
      <c r="B137">
        <v>25</v>
      </c>
      <c r="C137" t="str">
        <f t="shared" si="2"/>
        <v>under 25</v>
      </c>
      <c r="D137" t="s">
        <v>35</v>
      </c>
      <c r="E137" t="s">
        <v>36</v>
      </c>
      <c r="F137" t="s">
        <v>37</v>
      </c>
      <c r="G137">
        <v>437</v>
      </c>
      <c r="H137" t="s">
        <v>38</v>
      </c>
      <c r="I137">
        <v>6</v>
      </c>
      <c r="J137">
        <v>3</v>
      </c>
      <c r="K137" t="s">
        <v>47</v>
      </c>
      <c r="L137">
        <v>4</v>
      </c>
      <c r="M137" t="s">
        <v>51</v>
      </c>
      <c r="N137">
        <v>82</v>
      </c>
      <c r="O137">
        <v>3</v>
      </c>
      <c r="P137">
        <v>1</v>
      </c>
      <c r="Q137" t="s">
        <v>55</v>
      </c>
      <c r="R137">
        <v>4</v>
      </c>
      <c r="S137" t="s">
        <v>42</v>
      </c>
      <c r="T137">
        <v>3100</v>
      </c>
      <c r="U137">
        <v>16785</v>
      </c>
      <c r="V137">
        <v>2</v>
      </c>
      <c r="W137" t="s">
        <v>35</v>
      </c>
      <c r="X137">
        <v>18</v>
      </c>
      <c r="Y137">
        <v>3</v>
      </c>
      <c r="Z137">
        <v>4</v>
      </c>
      <c r="AA137">
        <v>2</v>
      </c>
      <c r="AB137">
        <v>3</v>
      </c>
      <c r="AC137">
        <v>3</v>
      </c>
      <c r="AD137">
        <v>3</v>
      </c>
      <c r="AE137">
        <v>3</v>
      </c>
      <c r="AF137">
        <v>0</v>
      </c>
      <c r="AG137">
        <v>0</v>
      </c>
      <c r="AH137">
        <v>2</v>
      </c>
    </row>
    <row r="138" spans="1:34" x14ac:dyDescent="0.35">
      <c r="A138" t="s">
        <v>198</v>
      </c>
      <c r="B138">
        <v>33</v>
      </c>
      <c r="C138" t="str">
        <f t="shared" si="2"/>
        <v>25-34</v>
      </c>
      <c r="D138" t="s">
        <v>35</v>
      </c>
      <c r="E138" t="s">
        <v>36</v>
      </c>
      <c r="F138" t="s">
        <v>37</v>
      </c>
      <c r="G138">
        <v>558</v>
      </c>
      <c r="H138" t="s">
        <v>46</v>
      </c>
      <c r="I138">
        <v>7</v>
      </c>
      <c r="J138">
        <v>3</v>
      </c>
      <c r="K138" t="s">
        <v>47</v>
      </c>
      <c r="L138">
        <v>3</v>
      </c>
      <c r="M138" t="s">
        <v>40</v>
      </c>
      <c r="N138">
        <v>31</v>
      </c>
      <c r="O138">
        <v>2</v>
      </c>
      <c r="P138">
        <v>1</v>
      </c>
      <c r="Q138" t="s">
        <v>65</v>
      </c>
      <c r="R138">
        <v>1</v>
      </c>
      <c r="S138" t="s">
        <v>49</v>
      </c>
      <c r="T138">
        <v>4819</v>
      </c>
      <c r="U138">
        <v>18781</v>
      </c>
      <c r="V138">
        <v>2</v>
      </c>
      <c r="W138" t="s">
        <v>35</v>
      </c>
      <c r="X138">
        <v>11</v>
      </c>
      <c r="Y138">
        <v>3</v>
      </c>
      <c r="Z138">
        <v>1</v>
      </c>
      <c r="AA138">
        <v>2</v>
      </c>
      <c r="AB138">
        <v>10</v>
      </c>
      <c r="AC138">
        <v>5</v>
      </c>
      <c r="AD138">
        <v>3</v>
      </c>
      <c r="AE138">
        <v>3</v>
      </c>
      <c r="AF138">
        <v>3</v>
      </c>
      <c r="AG138">
        <v>0</v>
      </c>
      <c r="AH138">
        <v>0</v>
      </c>
    </row>
    <row r="139" spans="1:34" x14ac:dyDescent="0.35">
      <c r="A139" t="s">
        <v>199</v>
      </c>
      <c r="B139">
        <v>36</v>
      </c>
      <c r="C139" t="str">
        <f t="shared" si="2"/>
        <v>35-44</v>
      </c>
      <c r="D139" t="s">
        <v>35</v>
      </c>
      <c r="E139" t="s">
        <v>36</v>
      </c>
      <c r="F139" t="s">
        <v>37</v>
      </c>
      <c r="G139">
        <v>664</v>
      </c>
      <c r="H139" t="s">
        <v>38</v>
      </c>
      <c r="I139">
        <v>22</v>
      </c>
      <c r="J139">
        <v>3</v>
      </c>
      <c r="K139" t="s">
        <v>39</v>
      </c>
      <c r="L139">
        <v>3</v>
      </c>
      <c r="M139" t="s">
        <v>51</v>
      </c>
      <c r="N139">
        <v>77</v>
      </c>
      <c r="O139">
        <v>2</v>
      </c>
      <c r="P139">
        <v>1</v>
      </c>
      <c r="Q139" t="s">
        <v>55</v>
      </c>
      <c r="R139">
        <v>2</v>
      </c>
      <c r="S139" t="s">
        <v>56</v>
      </c>
      <c r="T139">
        <v>4007</v>
      </c>
      <c r="U139">
        <v>13332</v>
      </c>
      <c r="V139">
        <v>3</v>
      </c>
      <c r="W139" t="s">
        <v>35</v>
      </c>
      <c r="X139">
        <v>16</v>
      </c>
      <c r="Y139">
        <v>3</v>
      </c>
      <c r="Z139">
        <v>2</v>
      </c>
      <c r="AA139">
        <v>0</v>
      </c>
      <c r="AB139">
        <v>15</v>
      </c>
      <c r="AC139">
        <v>2</v>
      </c>
      <c r="AD139">
        <v>1</v>
      </c>
      <c r="AE139">
        <v>4</v>
      </c>
      <c r="AF139">
        <v>2</v>
      </c>
      <c r="AG139">
        <v>0</v>
      </c>
      <c r="AH139">
        <v>0</v>
      </c>
    </row>
    <row r="140" spans="1:34" x14ac:dyDescent="0.35">
      <c r="A140" t="s">
        <v>200</v>
      </c>
      <c r="B140">
        <v>37</v>
      </c>
      <c r="C140" t="str">
        <f t="shared" si="2"/>
        <v>35-44</v>
      </c>
      <c r="D140" t="s">
        <v>43</v>
      </c>
      <c r="E140" t="s">
        <v>45</v>
      </c>
      <c r="F140" t="s">
        <v>54</v>
      </c>
      <c r="G140">
        <v>940</v>
      </c>
      <c r="H140" t="s">
        <v>38</v>
      </c>
      <c r="I140">
        <v>2</v>
      </c>
      <c r="J140">
        <v>2</v>
      </c>
      <c r="K140" t="s">
        <v>39</v>
      </c>
      <c r="L140">
        <v>3</v>
      </c>
      <c r="M140" t="s">
        <v>40</v>
      </c>
      <c r="N140">
        <v>31</v>
      </c>
      <c r="O140">
        <v>3</v>
      </c>
      <c r="P140">
        <v>1</v>
      </c>
      <c r="Q140" t="s">
        <v>62</v>
      </c>
      <c r="R140">
        <v>3</v>
      </c>
      <c r="S140" t="s">
        <v>42</v>
      </c>
      <c r="T140">
        <v>6546</v>
      </c>
      <c r="U140">
        <v>4567</v>
      </c>
      <c r="V140">
        <v>7</v>
      </c>
      <c r="W140" t="s">
        <v>43</v>
      </c>
      <c r="X140">
        <v>20</v>
      </c>
      <c r="Y140">
        <v>3</v>
      </c>
      <c r="Z140">
        <v>4</v>
      </c>
      <c r="AA140">
        <v>0</v>
      </c>
      <c r="AB140">
        <v>16</v>
      </c>
      <c r="AC140">
        <v>3</v>
      </c>
      <c r="AD140">
        <v>3</v>
      </c>
      <c r="AE140">
        <v>4</v>
      </c>
      <c r="AF140">
        <v>2</v>
      </c>
      <c r="AG140">
        <v>1</v>
      </c>
      <c r="AH140">
        <v>0</v>
      </c>
    </row>
    <row r="141" spans="1:34" x14ac:dyDescent="0.35">
      <c r="A141" t="s">
        <v>201</v>
      </c>
      <c r="B141">
        <v>43</v>
      </c>
      <c r="C141" t="str">
        <f t="shared" si="2"/>
        <v>35-44</v>
      </c>
      <c r="D141" t="s">
        <v>35</v>
      </c>
      <c r="E141" t="s">
        <v>36</v>
      </c>
      <c r="F141" t="s">
        <v>54</v>
      </c>
      <c r="G141">
        <v>1141</v>
      </c>
      <c r="H141" t="s">
        <v>38</v>
      </c>
      <c r="I141">
        <v>1</v>
      </c>
      <c r="J141">
        <v>1</v>
      </c>
      <c r="K141" t="s">
        <v>47</v>
      </c>
      <c r="L141">
        <v>4</v>
      </c>
      <c r="M141" t="s">
        <v>51</v>
      </c>
      <c r="N141">
        <v>85</v>
      </c>
      <c r="O141">
        <v>1</v>
      </c>
      <c r="P141">
        <v>2</v>
      </c>
      <c r="Q141" t="s">
        <v>52</v>
      </c>
      <c r="R141">
        <v>1</v>
      </c>
      <c r="S141" t="s">
        <v>42</v>
      </c>
      <c r="T141">
        <v>6313</v>
      </c>
      <c r="U141">
        <v>4779</v>
      </c>
      <c r="V141">
        <v>1</v>
      </c>
      <c r="W141" t="s">
        <v>43</v>
      </c>
      <c r="X141">
        <v>11</v>
      </c>
      <c r="Y141">
        <v>3</v>
      </c>
      <c r="Z141">
        <v>3</v>
      </c>
      <c r="AA141">
        <v>0</v>
      </c>
      <c r="AB141">
        <v>22</v>
      </c>
      <c r="AC141">
        <v>2</v>
      </c>
      <c r="AD141">
        <v>2</v>
      </c>
      <c r="AE141">
        <v>5</v>
      </c>
      <c r="AF141">
        <v>0</v>
      </c>
      <c r="AG141">
        <v>0</v>
      </c>
      <c r="AH141">
        <v>3</v>
      </c>
    </row>
    <row r="142" spans="1:34" x14ac:dyDescent="0.35">
      <c r="A142" t="s">
        <v>202</v>
      </c>
      <c r="B142">
        <v>34</v>
      </c>
      <c r="C142" t="str">
        <f t="shared" si="2"/>
        <v>25-34</v>
      </c>
      <c r="D142" t="s">
        <v>35</v>
      </c>
      <c r="E142" t="s">
        <v>36</v>
      </c>
      <c r="F142" t="s">
        <v>37</v>
      </c>
      <c r="G142">
        <v>1053</v>
      </c>
      <c r="H142" t="s">
        <v>46</v>
      </c>
      <c r="I142">
        <v>3</v>
      </c>
      <c r="J142">
        <v>3</v>
      </c>
      <c r="K142" t="s">
        <v>64</v>
      </c>
      <c r="L142">
        <v>4</v>
      </c>
      <c r="M142" t="s">
        <v>51</v>
      </c>
      <c r="N142">
        <v>52</v>
      </c>
      <c r="O142">
        <v>2</v>
      </c>
      <c r="P142">
        <v>3</v>
      </c>
      <c r="Q142" t="s">
        <v>48</v>
      </c>
      <c r="R142">
        <v>3</v>
      </c>
      <c r="S142" t="s">
        <v>56</v>
      </c>
      <c r="T142">
        <v>7321</v>
      </c>
      <c r="U142">
        <v>15562</v>
      </c>
      <c r="V142">
        <v>5</v>
      </c>
      <c r="W142" t="s">
        <v>35</v>
      </c>
      <c r="X142">
        <v>18</v>
      </c>
      <c r="Y142">
        <v>3</v>
      </c>
      <c r="Z142">
        <v>3</v>
      </c>
      <c r="AA142">
        <v>0</v>
      </c>
      <c r="AB142">
        <v>10</v>
      </c>
      <c r="AC142">
        <v>2</v>
      </c>
      <c r="AD142">
        <v>2</v>
      </c>
      <c r="AE142">
        <v>5</v>
      </c>
      <c r="AF142">
        <v>5</v>
      </c>
      <c r="AG142">
        <v>0</v>
      </c>
      <c r="AH142">
        <v>1</v>
      </c>
    </row>
    <row r="143" spans="1:34" x14ac:dyDescent="0.35">
      <c r="A143" t="s">
        <v>203</v>
      </c>
      <c r="B143">
        <v>49</v>
      </c>
      <c r="C143" t="str">
        <f t="shared" si="2"/>
        <v>45-54</v>
      </c>
      <c r="D143" t="s">
        <v>35</v>
      </c>
      <c r="E143" t="s">
        <v>36</v>
      </c>
      <c r="F143" t="s">
        <v>59</v>
      </c>
      <c r="G143">
        <v>354</v>
      </c>
      <c r="H143" t="s">
        <v>38</v>
      </c>
      <c r="I143">
        <v>1</v>
      </c>
      <c r="J143">
        <v>3</v>
      </c>
      <c r="K143" t="s">
        <v>69</v>
      </c>
      <c r="L143">
        <v>4</v>
      </c>
      <c r="M143" t="s">
        <v>40</v>
      </c>
      <c r="N143">
        <v>44</v>
      </c>
      <c r="O143">
        <v>3</v>
      </c>
      <c r="P143">
        <v>2</v>
      </c>
      <c r="Q143" t="s">
        <v>55</v>
      </c>
      <c r="R143">
        <v>3</v>
      </c>
      <c r="S143" t="s">
        <v>49</v>
      </c>
      <c r="T143">
        <v>8472</v>
      </c>
      <c r="U143">
        <v>5823</v>
      </c>
      <c r="V143">
        <v>3</v>
      </c>
      <c r="W143" t="s">
        <v>43</v>
      </c>
      <c r="X143">
        <v>18</v>
      </c>
      <c r="Y143">
        <v>4</v>
      </c>
      <c r="Z143">
        <v>2</v>
      </c>
      <c r="AA143">
        <v>0</v>
      </c>
      <c r="AB143">
        <v>23</v>
      </c>
      <c r="AC143">
        <v>2</v>
      </c>
      <c r="AD143">
        <v>3</v>
      </c>
      <c r="AE143">
        <v>5</v>
      </c>
      <c r="AF143">
        <v>4</v>
      </c>
      <c r="AG143">
        <v>1</v>
      </c>
      <c r="AH143">
        <v>5</v>
      </c>
    </row>
    <row r="144" spans="1:34" x14ac:dyDescent="0.35">
      <c r="A144" t="s">
        <v>204</v>
      </c>
      <c r="B144">
        <v>33</v>
      </c>
      <c r="C144" t="str">
        <f t="shared" si="2"/>
        <v>25-34</v>
      </c>
      <c r="D144" t="s">
        <v>35</v>
      </c>
      <c r="E144" t="s">
        <v>36</v>
      </c>
      <c r="F144" t="s">
        <v>54</v>
      </c>
      <c r="G144">
        <v>644</v>
      </c>
      <c r="H144" t="s">
        <v>38</v>
      </c>
      <c r="I144">
        <v>1</v>
      </c>
      <c r="J144">
        <v>4</v>
      </c>
      <c r="K144" t="s">
        <v>64</v>
      </c>
      <c r="L144">
        <v>2</v>
      </c>
      <c r="M144" t="s">
        <v>40</v>
      </c>
      <c r="N144">
        <v>85</v>
      </c>
      <c r="O144">
        <v>3</v>
      </c>
      <c r="P144">
        <v>1</v>
      </c>
      <c r="Q144" t="s">
        <v>55</v>
      </c>
      <c r="R144">
        <v>2</v>
      </c>
      <c r="S144" t="s">
        <v>49</v>
      </c>
      <c r="T144">
        <v>4742</v>
      </c>
      <c r="U144">
        <v>17464</v>
      </c>
      <c r="V144">
        <v>4</v>
      </c>
      <c r="W144" t="s">
        <v>35</v>
      </c>
      <c r="X144">
        <v>15</v>
      </c>
      <c r="Y144">
        <v>3</v>
      </c>
      <c r="Z144">
        <v>4</v>
      </c>
      <c r="AA144">
        <v>1</v>
      </c>
      <c r="AB144">
        <v>11</v>
      </c>
      <c r="AC144">
        <v>4</v>
      </c>
      <c r="AD144">
        <v>3</v>
      </c>
      <c r="AE144">
        <v>4</v>
      </c>
      <c r="AF144">
        <v>4</v>
      </c>
      <c r="AG144">
        <v>0</v>
      </c>
      <c r="AH144">
        <v>4</v>
      </c>
    </row>
    <row r="145" spans="1:34" x14ac:dyDescent="0.35">
      <c r="A145" t="s">
        <v>205</v>
      </c>
      <c r="B145">
        <v>35</v>
      </c>
      <c r="C145" t="str">
        <f t="shared" si="2"/>
        <v>35-44</v>
      </c>
      <c r="D145" t="s">
        <v>35</v>
      </c>
      <c r="E145" t="s">
        <v>36</v>
      </c>
      <c r="F145" t="s">
        <v>37</v>
      </c>
      <c r="G145">
        <v>467</v>
      </c>
      <c r="H145" t="s">
        <v>38</v>
      </c>
      <c r="I145">
        <v>4</v>
      </c>
      <c r="J145">
        <v>4</v>
      </c>
      <c r="K145" t="s">
        <v>47</v>
      </c>
      <c r="L145">
        <v>4</v>
      </c>
      <c r="M145" t="s">
        <v>51</v>
      </c>
      <c r="N145">
        <v>64</v>
      </c>
      <c r="O145">
        <v>2</v>
      </c>
      <c r="P145">
        <v>2</v>
      </c>
      <c r="Q145" t="s">
        <v>62</v>
      </c>
      <c r="R145">
        <v>1</v>
      </c>
      <c r="S145" t="s">
        <v>42</v>
      </c>
      <c r="T145">
        <v>5690</v>
      </c>
      <c r="U145">
        <v>23673</v>
      </c>
      <c r="V145">
        <v>0</v>
      </c>
      <c r="W145" t="s">
        <v>35</v>
      </c>
      <c r="X145">
        <v>14</v>
      </c>
      <c r="Y145">
        <v>3</v>
      </c>
      <c r="Z145">
        <v>2</v>
      </c>
      <c r="AA145">
        <v>1</v>
      </c>
      <c r="AB145">
        <v>13</v>
      </c>
      <c r="AC145">
        <v>0</v>
      </c>
      <c r="AD145">
        <v>3</v>
      </c>
      <c r="AE145">
        <v>5</v>
      </c>
      <c r="AF145">
        <v>1</v>
      </c>
      <c r="AG145">
        <v>2</v>
      </c>
      <c r="AH145">
        <v>0</v>
      </c>
    </row>
    <row r="146" spans="1:34" x14ac:dyDescent="0.35">
      <c r="A146" t="s">
        <v>206</v>
      </c>
      <c r="B146">
        <v>45</v>
      </c>
      <c r="C146" t="str">
        <f t="shared" si="2"/>
        <v>45-54</v>
      </c>
      <c r="D146" t="s">
        <v>43</v>
      </c>
      <c r="E146" t="s">
        <v>45</v>
      </c>
      <c r="F146" t="s">
        <v>54</v>
      </c>
      <c r="G146">
        <v>1167</v>
      </c>
      <c r="H146" t="s">
        <v>38</v>
      </c>
      <c r="I146">
        <v>4</v>
      </c>
      <c r="J146">
        <v>4</v>
      </c>
      <c r="K146" t="s">
        <v>39</v>
      </c>
      <c r="L146">
        <v>3</v>
      </c>
      <c r="M146" t="s">
        <v>51</v>
      </c>
      <c r="N146">
        <v>60</v>
      </c>
      <c r="O146">
        <v>2</v>
      </c>
      <c r="P146">
        <v>1</v>
      </c>
      <c r="Q146" t="s">
        <v>62</v>
      </c>
      <c r="R146">
        <v>2</v>
      </c>
      <c r="S146" t="s">
        <v>49</v>
      </c>
      <c r="T146">
        <v>4006</v>
      </c>
      <c r="U146">
        <v>9865</v>
      </c>
      <c r="V146">
        <v>2</v>
      </c>
      <c r="W146" t="s">
        <v>43</v>
      </c>
      <c r="X146">
        <v>19</v>
      </c>
      <c r="Y146">
        <v>4</v>
      </c>
      <c r="Z146">
        <v>3</v>
      </c>
      <c r="AA146">
        <v>2</v>
      </c>
      <c r="AB146">
        <v>23</v>
      </c>
      <c r="AC146">
        <v>1</v>
      </c>
      <c r="AD146">
        <v>3</v>
      </c>
      <c r="AE146">
        <v>3</v>
      </c>
      <c r="AF146">
        <v>1</v>
      </c>
      <c r="AG146">
        <v>3</v>
      </c>
      <c r="AH146">
        <v>3</v>
      </c>
    </row>
    <row r="147" spans="1:34" x14ac:dyDescent="0.35">
      <c r="A147" t="s">
        <v>207</v>
      </c>
      <c r="B147">
        <v>35</v>
      </c>
      <c r="C147" t="str">
        <f t="shared" si="2"/>
        <v>35-44</v>
      </c>
      <c r="D147" t="s">
        <v>35</v>
      </c>
      <c r="E147" t="s">
        <v>36</v>
      </c>
      <c r="F147" t="s">
        <v>37</v>
      </c>
      <c r="G147">
        <v>148</v>
      </c>
      <c r="H147" t="s">
        <v>46</v>
      </c>
      <c r="I147">
        <v>1</v>
      </c>
      <c r="J147">
        <v>3</v>
      </c>
      <c r="K147" t="s">
        <v>103</v>
      </c>
      <c r="L147">
        <v>1</v>
      </c>
      <c r="M147" t="s">
        <v>51</v>
      </c>
      <c r="N147">
        <v>38</v>
      </c>
      <c r="O147">
        <v>3</v>
      </c>
      <c r="P147">
        <v>2</v>
      </c>
      <c r="Q147" t="s">
        <v>48</v>
      </c>
      <c r="R147">
        <v>4</v>
      </c>
      <c r="S147" t="s">
        <v>42</v>
      </c>
      <c r="T147">
        <v>7795</v>
      </c>
      <c r="U147">
        <v>3168</v>
      </c>
      <c r="V147">
        <v>1</v>
      </c>
      <c r="W147" t="s">
        <v>35</v>
      </c>
      <c r="X147">
        <v>17</v>
      </c>
      <c r="Y147">
        <v>3</v>
      </c>
      <c r="Z147">
        <v>1</v>
      </c>
      <c r="AA147">
        <v>2</v>
      </c>
      <c r="AB147">
        <v>11</v>
      </c>
      <c r="AC147">
        <v>2</v>
      </c>
      <c r="AD147">
        <v>3</v>
      </c>
      <c r="AE147">
        <v>3</v>
      </c>
      <c r="AF147">
        <v>0</v>
      </c>
      <c r="AG147">
        <v>0</v>
      </c>
      <c r="AH147">
        <v>3</v>
      </c>
    </row>
    <row r="148" spans="1:34" x14ac:dyDescent="0.35">
      <c r="A148" t="s">
        <v>208</v>
      </c>
      <c r="B148">
        <v>46</v>
      </c>
      <c r="C148" t="str">
        <f t="shared" si="2"/>
        <v>45-54</v>
      </c>
      <c r="D148" t="s">
        <v>35</v>
      </c>
      <c r="E148" t="s">
        <v>36</v>
      </c>
      <c r="F148" t="s">
        <v>37</v>
      </c>
      <c r="G148">
        <v>154</v>
      </c>
      <c r="H148" t="s">
        <v>38</v>
      </c>
      <c r="I148">
        <v>2</v>
      </c>
      <c r="J148">
        <v>3</v>
      </c>
      <c r="K148" t="s">
        <v>39</v>
      </c>
      <c r="L148">
        <v>3</v>
      </c>
      <c r="M148" t="s">
        <v>51</v>
      </c>
      <c r="N148">
        <v>81</v>
      </c>
      <c r="O148">
        <v>3</v>
      </c>
      <c r="P148">
        <v>4</v>
      </c>
      <c r="Q148" t="s">
        <v>60</v>
      </c>
      <c r="R148">
        <v>4</v>
      </c>
      <c r="S148" t="s">
        <v>56</v>
      </c>
      <c r="T148">
        <v>11544</v>
      </c>
      <c r="U148">
        <v>22436</v>
      </c>
      <c r="V148">
        <v>3</v>
      </c>
      <c r="W148" t="s">
        <v>35</v>
      </c>
      <c r="X148">
        <v>11</v>
      </c>
      <c r="Y148">
        <v>3</v>
      </c>
      <c r="Z148">
        <v>3</v>
      </c>
      <c r="AA148">
        <v>1</v>
      </c>
      <c r="AB148">
        <v>20</v>
      </c>
      <c r="AC148">
        <v>3</v>
      </c>
      <c r="AD148">
        <v>3</v>
      </c>
      <c r="AE148">
        <v>19</v>
      </c>
      <c r="AF148">
        <v>0</v>
      </c>
      <c r="AG148">
        <v>1</v>
      </c>
      <c r="AH148">
        <v>0</v>
      </c>
    </row>
    <row r="149" spans="1:34" x14ac:dyDescent="0.35">
      <c r="A149" t="s">
        <v>209</v>
      </c>
      <c r="B149">
        <v>46</v>
      </c>
      <c r="C149" t="str">
        <f t="shared" si="2"/>
        <v>45-54</v>
      </c>
      <c r="D149" t="s">
        <v>35</v>
      </c>
      <c r="E149" t="s">
        <v>36</v>
      </c>
      <c r="F149" t="s">
        <v>59</v>
      </c>
      <c r="G149">
        <v>1180</v>
      </c>
      <c r="H149" t="s">
        <v>46</v>
      </c>
      <c r="I149">
        <v>17</v>
      </c>
      <c r="J149">
        <v>2</v>
      </c>
      <c r="K149" t="s">
        <v>69</v>
      </c>
      <c r="L149">
        <v>3</v>
      </c>
      <c r="M149" t="s">
        <v>40</v>
      </c>
      <c r="N149">
        <v>41</v>
      </c>
      <c r="O149">
        <v>3</v>
      </c>
      <c r="P149">
        <v>1</v>
      </c>
      <c r="Q149" t="s">
        <v>65</v>
      </c>
      <c r="R149">
        <v>4</v>
      </c>
      <c r="S149" t="s">
        <v>56</v>
      </c>
      <c r="T149">
        <v>5895</v>
      </c>
      <c r="U149">
        <v>15521</v>
      </c>
      <c r="V149">
        <v>1</v>
      </c>
      <c r="W149" t="s">
        <v>35</v>
      </c>
      <c r="X149">
        <v>12</v>
      </c>
      <c r="Y149">
        <v>3</v>
      </c>
      <c r="Z149">
        <v>3</v>
      </c>
      <c r="AA149">
        <v>0</v>
      </c>
      <c r="AB149">
        <v>25</v>
      </c>
      <c r="AC149">
        <v>2</v>
      </c>
      <c r="AD149">
        <v>3</v>
      </c>
      <c r="AE149">
        <v>0</v>
      </c>
      <c r="AF149">
        <v>0</v>
      </c>
      <c r="AG149">
        <v>0</v>
      </c>
      <c r="AH149">
        <v>0</v>
      </c>
    </row>
    <row r="150" spans="1:34" x14ac:dyDescent="0.35">
      <c r="A150" t="s">
        <v>210</v>
      </c>
      <c r="B150">
        <v>21</v>
      </c>
      <c r="C150" t="str">
        <f t="shared" si="2"/>
        <v>under 25</v>
      </c>
      <c r="D150" t="s">
        <v>35</v>
      </c>
      <c r="E150" t="s">
        <v>36</v>
      </c>
      <c r="F150" t="s">
        <v>37</v>
      </c>
      <c r="G150">
        <v>593</v>
      </c>
      <c r="H150" t="s">
        <v>46</v>
      </c>
      <c r="I150">
        <v>27</v>
      </c>
      <c r="J150">
        <v>3</v>
      </c>
      <c r="K150" t="s">
        <v>103</v>
      </c>
      <c r="L150">
        <v>2</v>
      </c>
      <c r="M150" t="s">
        <v>40</v>
      </c>
      <c r="N150">
        <v>80</v>
      </c>
      <c r="O150">
        <v>3</v>
      </c>
      <c r="P150">
        <v>1</v>
      </c>
      <c r="Q150" t="s">
        <v>80</v>
      </c>
      <c r="R150">
        <v>1</v>
      </c>
      <c r="S150" t="s">
        <v>49</v>
      </c>
      <c r="T150">
        <v>4697</v>
      </c>
      <c r="U150">
        <v>4594</v>
      </c>
      <c r="V150">
        <v>4</v>
      </c>
      <c r="W150" t="s">
        <v>43</v>
      </c>
      <c r="X150">
        <v>13</v>
      </c>
      <c r="Y150">
        <v>3</v>
      </c>
      <c r="Z150">
        <v>2</v>
      </c>
      <c r="AA150">
        <v>1</v>
      </c>
      <c r="AB150">
        <v>0</v>
      </c>
      <c r="AC150">
        <v>5</v>
      </c>
      <c r="AD150">
        <v>2</v>
      </c>
      <c r="AE150">
        <v>0</v>
      </c>
      <c r="AF150">
        <v>0</v>
      </c>
      <c r="AG150">
        <v>0</v>
      </c>
      <c r="AH150">
        <v>0</v>
      </c>
    </row>
    <row r="151" spans="1:34" x14ac:dyDescent="0.35">
      <c r="A151" t="s">
        <v>211</v>
      </c>
      <c r="B151">
        <v>37</v>
      </c>
      <c r="C151" t="str">
        <f t="shared" si="2"/>
        <v>35-44</v>
      </c>
      <c r="D151" t="s">
        <v>43</v>
      </c>
      <c r="E151" t="s">
        <v>45</v>
      </c>
      <c r="F151" t="s">
        <v>37</v>
      </c>
      <c r="G151">
        <v>425</v>
      </c>
      <c r="H151" t="s">
        <v>46</v>
      </c>
      <c r="I151">
        <v>4</v>
      </c>
      <c r="J151">
        <v>4</v>
      </c>
      <c r="K151" t="s">
        <v>103</v>
      </c>
      <c r="L151">
        <v>1</v>
      </c>
      <c r="M151" t="s">
        <v>51</v>
      </c>
      <c r="N151">
        <v>79</v>
      </c>
      <c r="O151">
        <v>3</v>
      </c>
      <c r="P151">
        <v>1</v>
      </c>
      <c r="Q151" t="s">
        <v>65</v>
      </c>
      <c r="R151">
        <v>2</v>
      </c>
      <c r="S151" t="s">
        <v>49</v>
      </c>
      <c r="T151">
        <v>6955</v>
      </c>
      <c r="U151">
        <v>13620</v>
      </c>
      <c r="V151">
        <v>0</v>
      </c>
      <c r="W151" t="s">
        <v>43</v>
      </c>
      <c r="X151">
        <v>11</v>
      </c>
      <c r="Y151">
        <v>4</v>
      </c>
      <c r="Z151">
        <v>2</v>
      </c>
      <c r="AA151">
        <v>1</v>
      </c>
      <c r="AB151">
        <v>18</v>
      </c>
      <c r="AC151">
        <v>1</v>
      </c>
      <c r="AD151">
        <v>3</v>
      </c>
      <c r="AE151">
        <v>0</v>
      </c>
      <c r="AF151">
        <v>0</v>
      </c>
      <c r="AG151">
        <v>0</v>
      </c>
      <c r="AH151">
        <v>0</v>
      </c>
    </row>
    <row r="152" spans="1:34" x14ac:dyDescent="0.35">
      <c r="A152" t="s">
        <v>212</v>
      </c>
      <c r="B152">
        <v>51</v>
      </c>
      <c r="C152" t="str">
        <f t="shared" si="2"/>
        <v>45-54</v>
      </c>
      <c r="D152" t="s">
        <v>35</v>
      </c>
      <c r="E152" t="s">
        <v>36</v>
      </c>
      <c r="F152" t="s">
        <v>37</v>
      </c>
      <c r="G152">
        <v>869</v>
      </c>
      <c r="H152" t="s">
        <v>46</v>
      </c>
      <c r="I152">
        <v>24</v>
      </c>
      <c r="J152">
        <v>5</v>
      </c>
      <c r="K152" t="s">
        <v>69</v>
      </c>
      <c r="L152">
        <v>4</v>
      </c>
      <c r="M152" t="s">
        <v>40</v>
      </c>
      <c r="N152">
        <v>81</v>
      </c>
      <c r="O152">
        <v>3</v>
      </c>
      <c r="P152">
        <v>2</v>
      </c>
      <c r="Q152" t="s">
        <v>65</v>
      </c>
      <c r="R152">
        <v>4</v>
      </c>
      <c r="S152" t="s">
        <v>49</v>
      </c>
      <c r="T152">
        <v>7808</v>
      </c>
      <c r="U152">
        <v>10257</v>
      </c>
      <c r="V152">
        <v>5</v>
      </c>
      <c r="W152" t="s">
        <v>35</v>
      </c>
      <c r="X152">
        <v>14</v>
      </c>
      <c r="Y152">
        <v>3</v>
      </c>
      <c r="Z152">
        <v>4</v>
      </c>
      <c r="AA152">
        <v>0</v>
      </c>
      <c r="AB152">
        <v>27</v>
      </c>
      <c r="AC152">
        <v>4</v>
      </c>
      <c r="AD152">
        <v>2</v>
      </c>
      <c r="AE152">
        <v>9</v>
      </c>
      <c r="AF152">
        <v>0</v>
      </c>
      <c r="AG152">
        <v>0</v>
      </c>
      <c r="AH152">
        <v>1</v>
      </c>
    </row>
    <row r="153" spans="1:34" x14ac:dyDescent="0.35">
      <c r="A153" t="s">
        <v>213</v>
      </c>
      <c r="B153">
        <v>38</v>
      </c>
      <c r="C153" t="str">
        <f t="shared" si="2"/>
        <v>35-44</v>
      </c>
      <c r="D153" t="s">
        <v>43</v>
      </c>
      <c r="E153" t="s">
        <v>45</v>
      </c>
      <c r="F153" t="s">
        <v>37</v>
      </c>
      <c r="G153">
        <v>494</v>
      </c>
      <c r="H153" t="s">
        <v>46</v>
      </c>
      <c r="I153">
        <v>4</v>
      </c>
      <c r="J153">
        <v>4</v>
      </c>
      <c r="K153" t="s">
        <v>64</v>
      </c>
      <c r="L153">
        <v>3</v>
      </c>
      <c r="M153" t="s">
        <v>51</v>
      </c>
      <c r="N153">
        <v>99</v>
      </c>
      <c r="O153">
        <v>2</v>
      </c>
      <c r="P153">
        <v>1</v>
      </c>
      <c r="Q153" t="s">
        <v>65</v>
      </c>
      <c r="R153">
        <v>4</v>
      </c>
      <c r="S153" t="s">
        <v>42</v>
      </c>
      <c r="T153">
        <v>3316</v>
      </c>
      <c r="U153">
        <v>10060</v>
      </c>
      <c r="V153">
        <v>2</v>
      </c>
      <c r="W153" t="s">
        <v>35</v>
      </c>
      <c r="X153">
        <v>16</v>
      </c>
      <c r="Y153">
        <v>3</v>
      </c>
      <c r="Z153">
        <v>2</v>
      </c>
      <c r="AA153">
        <v>0</v>
      </c>
      <c r="AB153">
        <v>12</v>
      </c>
      <c r="AC153">
        <v>4</v>
      </c>
      <c r="AD153">
        <v>3</v>
      </c>
      <c r="AE153">
        <v>0</v>
      </c>
      <c r="AF153">
        <v>0</v>
      </c>
      <c r="AG153">
        <v>0</v>
      </c>
      <c r="AH153">
        <v>0</v>
      </c>
    </row>
    <row r="154" spans="1:34" x14ac:dyDescent="0.35">
      <c r="A154" t="s">
        <v>214</v>
      </c>
      <c r="B154">
        <v>27</v>
      </c>
      <c r="C154" t="str">
        <f t="shared" si="2"/>
        <v>25-34</v>
      </c>
      <c r="D154" t="s">
        <v>35</v>
      </c>
      <c r="E154" t="s">
        <v>36</v>
      </c>
      <c r="F154" t="s">
        <v>37</v>
      </c>
      <c r="G154">
        <v>592</v>
      </c>
      <c r="H154" t="s">
        <v>38</v>
      </c>
      <c r="I154">
        <v>7</v>
      </c>
      <c r="J154">
        <v>1</v>
      </c>
      <c r="K154" t="s">
        <v>39</v>
      </c>
      <c r="L154">
        <v>4</v>
      </c>
      <c r="M154" t="s">
        <v>40</v>
      </c>
      <c r="N154">
        <v>56</v>
      </c>
      <c r="O154">
        <v>2</v>
      </c>
      <c r="P154">
        <v>1</v>
      </c>
      <c r="Q154" t="s">
        <v>62</v>
      </c>
      <c r="R154">
        <v>3</v>
      </c>
      <c r="S154" t="s">
        <v>56</v>
      </c>
      <c r="T154">
        <v>2843</v>
      </c>
      <c r="U154">
        <v>26473</v>
      </c>
      <c r="V154">
        <v>2</v>
      </c>
      <c r="W154" t="s">
        <v>35</v>
      </c>
      <c r="X154">
        <v>18</v>
      </c>
      <c r="Y154">
        <v>3</v>
      </c>
      <c r="Z154">
        <v>4</v>
      </c>
      <c r="AA154">
        <v>0</v>
      </c>
      <c r="AB154">
        <v>3</v>
      </c>
      <c r="AC154">
        <v>1</v>
      </c>
      <c r="AD154">
        <v>3</v>
      </c>
      <c r="AE154">
        <v>3</v>
      </c>
      <c r="AF154">
        <v>2</v>
      </c>
      <c r="AG154">
        <v>2</v>
      </c>
      <c r="AH154">
        <v>0</v>
      </c>
    </row>
    <row r="155" spans="1:34" x14ac:dyDescent="0.35">
      <c r="A155" t="s">
        <v>215</v>
      </c>
      <c r="B155">
        <v>39</v>
      </c>
      <c r="C155" t="str">
        <f t="shared" si="2"/>
        <v>35-44</v>
      </c>
      <c r="D155" t="s">
        <v>35</v>
      </c>
      <c r="E155" t="s">
        <v>36</v>
      </c>
      <c r="F155" t="s">
        <v>54</v>
      </c>
      <c r="G155">
        <v>802</v>
      </c>
      <c r="H155" t="s">
        <v>38</v>
      </c>
      <c r="I155">
        <v>29</v>
      </c>
      <c r="J155">
        <v>4</v>
      </c>
      <c r="K155" t="s">
        <v>39</v>
      </c>
      <c r="L155">
        <v>3</v>
      </c>
      <c r="M155" t="s">
        <v>40</v>
      </c>
      <c r="N155">
        <v>80</v>
      </c>
      <c r="O155">
        <v>3</v>
      </c>
      <c r="P155">
        <v>5</v>
      </c>
      <c r="Q155" t="s">
        <v>62</v>
      </c>
      <c r="R155">
        <v>4</v>
      </c>
      <c r="S155" t="s">
        <v>49</v>
      </c>
      <c r="T155">
        <v>12407</v>
      </c>
      <c r="U155">
        <v>14161</v>
      </c>
      <c r="V155">
        <v>2</v>
      </c>
      <c r="W155" t="s">
        <v>43</v>
      </c>
      <c r="X155">
        <v>17</v>
      </c>
      <c r="Y155">
        <v>3</v>
      </c>
      <c r="Z155">
        <v>3</v>
      </c>
      <c r="AA155">
        <v>2</v>
      </c>
      <c r="AB155">
        <v>16</v>
      </c>
      <c r="AC155">
        <v>2</v>
      </c>
      <c r="AD155">
        <v>3</v>
      </c>
      <c r="AE155">
        <v>16</v>
      </c>
      <c r="AF155">
        <v>0</v>
      </c>
      <c r="AG155">
        <v>3</v>
      </c>
      <c r="AH155">
        <v>3</v>
      </c>
    </row>
    <row r="156" spans="1:34" x14ac:dyDescent="0.35">
      <c r="A156" t="s">
        <v>216</v>
      </c>
      <c r="B156">
        <v>49</v>
      </c>
      <c r="C156" t="str">
        <f t="shared" si="2"/>
        <v>45-54</v>
      </c>
      <c r="D156" t="s">
        <v>35</v>
      </c>
      <c r="E156" t="s">
        <v>36</v>
      </c>
      <c r="F156" t="s">
        <v>37</v>
      </c>
      <c r="G156">
        <v>457</v>
      </c>
      <c r="H156" t="s">
        <v>38</v>
      </c>
      <c r="I156">
        <v>1</v>
      </c>
      <c r="J156">
        <v>3</v>
      </c>
      <c r="K156" t="s">
        <v>47</v>
      </c>
      <c r="L156">
        <v>4</v>
      </c>
      <c r="M156" t="s">
        <v>51</v>
      </c>
      <c r="N156">
        <v>75</v>
      </c>
      <c r="O156">
        <v>3</v>
      </c>
      <c r="P156">
        <v>2</v>
      </c>
      <c r="Q156" t="s">
        <v>60</v>
      </c>
      <c r="R156">
        <v>4</v>
      </c>
      <c r="S156" t="s">
        <v>49</v>
      </c>
      <c r="T156">
        <v>7382</v>
      </c>
      <c r="U156">
        <v>7336</v>
      </c>
      <c r="V156">
        <v>3</v>
      </c>
      <c r="W156" t="s">
        <v>35</v>
      </c>
      <c r="X156">
        <v>17</v>
      </c>
      <c r="Y156">
        <v>3</v>
      </c>
      <c r="Z156">
        <v>4</v>
      </c>
      <c r="AA156">
        <v>2</v>
      </c>
      <c r="AB156">
        <v>24</v>
      </c>
      <c r="AC156">
        <v>2</v>
      </c>
      <c r="AD156">
        <v>1</v>
      </c>
      <c r="AE156">
        <v>6</v>
      </c>
      <c r="AF156">
        <v>0</v>
      </c>
      <c r="AG156">
        <v>1</v>
      </c>
      <c r="AH156">
        <v>6</v>
      </c>
    </row>
    <row r="157" spans="1:34" x14ac:dyDescent="0.35">
      <c r="A157" t="s">
        <v>217</v>
      </c>
      <c r="B157">
        <v>44</v>
      </c>
      <c r="C157" t="str">
        <f t="shared" si="2"/>
        <v>35-44</v>
      </c>
      <c r="D157" t="s">
        <v>35</v>
      </c>
      <c r="E157" t="s">
        <v>36</v>
      </c>
      <c r="F157" t="s">
        <v>37</v>
      </c>
      <c r="G157">
        <v>1344</v>
      </c>
      <c r="H157" t="s">
        <v>38</v>
      </c>
      <c r="I157">
        <v>4</v>
      </c>
      <c r="J157">
        <v>4</v>
      </c>
      <c r="K157" t="s">
        <v>69</v>
      </c>
      <c r="L157">
        <v>3</v>
      </c>
      <c r="M157" t="s">
        <v>51</v>
      </c>
      <c r="N157">
        <v>34</v>
      </c>
      <c r="O157">
        <v>2</v>
      </c>
      <c r="P157">
        <v>1</v>
      </c>
      <c r="Q157" t="s">
        <v>48</v>
      </c>
      <c r="R157">
        <v>4</v>
      </c>
      <c r="S157" t="s">
        <v>42</v>
      </c>
      <c r="T157">
        <v>6438</v>
      </c>
      <c r="U157">
        <v>8697</v>
      </c>
      <c r="V157">
        <v>5</v>
      </c>
      <c r="W157" t="s">
        <v>43</v>
      </c>
      <c r="X157">
        <v>17</v>
      </c>
      <c r="Y157">
        <v>3</v>
      </c>
      <c r="Z157">
        <v>4</v>
      </c>
      <c r="AA157">
        <v>0</v>
      </c>
      <c r="AB157">
        <v>23</v>
      </c>
      <c r="AC157">
        <v>1</v>
      </c>
      <c r="AD157">
        <v>3</v>
      </c>
      <c r="AE157">
        <v>0</v>
      </c>
      <c r="AF157">
        <v>0</v>
      </c>
      <c r="AG157">
        <v>0</v>
      </c>
      <c r="AH157">
        <v>0</v>
      </c>
    </row>
    <row r="158" spans="1:34" x14ac:dyDescent="0.35">
      <c r="A158" t="s">
        <v>218</v>
      </c>
      <c r="B158">
        <v>43</v>
      </c>
      <c r="C158" t="str">
        <f t="shared" si="2"/>
        <v>35-44</v>
      </c>
      <c r="D158" t="s">
        <v>35</v>
      </c>
      <c r="E158" t="s">
        <v>36</v>
      </c>
      <c r="F158" t="s">
        <v>54</v>
      </c>
      <c r="G158">
        <v>548</v>
      </c>
      <c r="H158" t="s">
        <v>38</v>
      </c>
      <c r="I158">
        <v>2</v>
      </c>
      <c r="J158">
        <v>4</v>
      </c>
      <c r="K158" t="s">
        <v>47</v>
      </c>
      <c r="L158">
        <v>1</v>
      </c>
      <c r="M158" t="s">
        <v>51</v>
      </c>
      <c r="N158">
        <v>53</v>
      </c>
      <c r="O158">
        <v>2</v>
      </c>
      <c r="P158">
        <v>2</v>
      </c>
      <c r="Q158" t="s">
        <v>48</v>
      </c>
      <c r="R158">
        <v>3</v>
      </c>
      <c r="S158" t="s">
        <v>42</v>
      </c>
      <c r="T158">
        <v>8467</v>
      </c>
      <c r="U158">
        <v>7577</v>
      </c>
      <c r="V158">
        <v>3</v>
      </c>
      <c r="W158" t="s">
        <v>35</v>
      </c>
      <c r="X158">
        <v>14</v>
      </c>
      <c r="Y158">
        <v>3</v>
      </c>
      <c r="Z158">
        <v>3</v>
      </c>
      <c r="AA158">
        <v>1</v>
      </c>
      <c r="AB158">
        <v>22</v>
      </c>
      <c r="AC158">
        <v>3</v>
      </c>
      <c r="AD158">
        <v>3</v>
      </c>
      <c r="AE158">
        <v>6</v>
      </c>
      <c r="AF158">
        <v>1</v>
      </c>
      <c r="AG158">
        <v>6</v>
      </c>
      <c r="AH158">
        <v>0</v>
      </c>
    </row>
    <row r="159" spans="1:34" x14ac:dyDescent="0.35">
      <c r="A159" t="s">
        <v>219</v>
      </c>
      <c r="B159">
        <v>28</v>
      </c>
      <c r="C159" t="str">
        <f t="shared" si="2"/>
        <v>25-34</v>
      </c>
      <c r="D159" t="s">
        <v>43</v>
      </c>
      <c r="E159" t="s">
        <v>45</v>
      </c>
      <c r="F159" t="s">
        <v>59</v>
      </c>
      <c r="G159">
        <v>1448</v>
      </c>
      <c r="H159" t="s">
        <v>99</v>
      </c>
      <c r="I159">
        <v>18</v>
      </c>
      <c r="J159">
        <v>2</v>
      </c>
      <c r="K159" t="s">
        <v>47</v>
      </c>
      <c r="L159">
        <v>1</v>
      </c>
      <c r="M159" t="s">
        <v>40</v>
      </c>
      <c r="N159">
        <v>80</v>
      </c>
      <c r="O159">
        <v>2</v>
      </c>
      <c r="P159">
        <v>1</v>
      </c>
      <c r="Q159" t="s">
        <v>48</v>
      </c>
      <c r="R159">
        <v>1</v>
      </c>
      <c r="S159" t="s">
        <v>42</v>
      </c>
      <c r="T159">
        <v>3924</v>
      </c>
      <c r="U159">
        <v>13797</v>
      </c>
      <c r="V159">
        <v>5</v>
      </c>
      <c r="W159" t="s">
        <v>43</v>
      </c>
      <c r="X159">
        <v>11</v>
      </c>
      <c r="Y159">
        <v>3</v>
      </c>
      <c r="Z159">
        <v>2</v>
      </c>
      <c r="AA159">
        <v>1</v>
      </c>
      <c r="AB159">
        <v>3</v>
      </c>
      <c r="AC159">
        <v>3</v>
      </c>
      <c r="AD159">
        <v>2</v>
      </c>
      <c r="AE159">
        <v>0</v>
      </c>
      <c r="AF159">
        <v>0</v>
      </c>
      <c r="AG159">
        <v>0</v>
      </c>
      <c r="AH159">
        <v>0</v>
      </c>
    </row>
    <row r="160" spans="1:34" x14ac:dyDescent="0.35">
      <c r="A160" t="s">
        <v>220</v>
      </c>
      <c r="B160">
        <v>40</v>
      </c>
      <c r="C160" t="str">
        <f t="shared" si="2"/>
        <v>35-44</v>
      </c>
      <c r="D160" t="s">
        <v>35</v>
      </c>
      <c r="E160" t="s">
        <v>36</v>
      </c>
      <c r="F160" t="s">
        <v>37</v>
      </c>
      <c r="G160">
        <v>640</v>
      </c>
      <c r="H160" t="s">
        <v>46</v>
      </c>
      <c r="I160">
        <v>1</v>
      </c>
      <c r="J160">
        <v>2</v>
      </c>
      <c r="K160" t="s">
        <v>103</v>
      </c>
      <c r="L160">
        <v>4</v>
      </c>
      <c r="M160" t="s">
        <v>40</v>
      </c>
      <c r="N160">
        <v>36</v>
      </c>
      <c r="O160">
        <v>3</v>
      </c>
      <c r="P160">
        <v>2</v>
      </c>
      <c r="Q160" t="s">
        <v>65</v>
      </c>
      <c r="R160">
        <v>2</v>
      </c>
      <c r="S160" t="s">
        <v>49</v>
      </c>
      <c r="T160">
        <v>6547</v>
      </c>
      <c r="U160">
        <v>26845</v>
      </c>
      <c r="V160">
        <v>2</v>
      </c>
      <c r="W160" t="s">
        <v>35</v>
      </c>
      <c r="X160">
        <v>19</v>
      </c>
      <c r="Y160">
        <v>4</v>
      </c>
      <c r="Z160">
        <v>1</v>
      </c>
      <c r="AA160">
        <v>1</v>
      </c>
      <c r="AB160">
        <v>12</v>
      </c>
      <c r="AC160">
        <v>4</v>
      </c>
      <c r="AD160">
        <v>2</v>
      </c>
      <c r="AE160">
        <v>3</v>
      </c>
      <c r="AF160">
        <v>3</v>
      </c>
      <c r="AG160">
        <v>0</v>
      </c>
      <c r="AH160">
        <v>0</v>
      </c>
    </row>
    <row r="161" spans="1:34" x14ac:dyDescent="0.35">
      <c r="A161" t="s">
        <v>221</v>
      </c>
      <c r="B161">
        <v>26</v>
      </c>
      <c r="C161" t="str">
        <f t="shared" si="2"/>
        <v>25-34</v>
      </c>
      <c r="D161" t="s">
        <v>35</v>
      </c>
      <c r="E161" t="s">
        <v>36</v>
      </c>
      <c r="F161" t="s">
        <v>54</v>
      </c>
      <c r="G161">
        <v>1215</v>
      </c>
      <c r="H161" t="s">
        <v>46</v>
      </c>
      <c r="I161">
        <v>29</v>
      </c>
      <c r="J161">
        <v>4</v>
      </c>
      <c r="K161" t="s">
        <v>103</v>
      </c>
      <c r="L161">
        <v>3</v>
      </c>
      <c r="M161" t="s">
        <v>40</v>
      </c>
      <c r="N161">
        <v>81</v>
      </c>
      <c r="O161">
        <v>2</v>
      </c>
      <c r="P161">
        <v>3</v>
      </c>
      <c r="Q161" t="s">
        <v>65</v>
      </c>
      <c r="R161">
        <v>2</v>
      </c>
      <c r="S161" t="s">
        <v>42</v>
      </c>
      <c r="T161">
        <v>7832</v>
      </c>
      <c r="U161">
        <v>22260</v>
      </c>
      <c r="V161">
        <v>2</v>
      </c>
      <c r="W161" t="s">
        <v>43</v>
      </c>
      <c r="X161">
        <v>12</v>
      </c>
      <c r="Y161">
        <v>3</v>
      </c>
      <c r="Z161">
        <v>4</v>
      </c>
      <c r="AA161">
        <v>0</v>
      </c>
      <c r="AB161">
        <v>6</v>
      </c>
      <c r="AC161">
        <v>4</v>
      </c>
      <c r="AD161">
        <v>2</v>
      </c>
      <c r="AE161">
        <v>6</v>
      </c>
      <c r="AF161">
        <v>0</v>
      </c>
      <c r="AG161">
        <v>0</v>
      </c>
      <c r="AH161">
        <v>2</v>
      </c>
    </row>
    <row r="162" spans="1:34" x14ac:dyDescent="0.35">
      <c r="A162" t="s">
        <v>222</v>
      </c>
      <c r="B162">
        <v>41</v>
      </c>
      <c r="C162" t="str">
        <f t="shared" si="2"/>
        <v>35-44</v>
      </c>
      <c r="D162" t="s">
        <v>35</v>
      </c>
      <c r="E162" t="s">
        <v>36</v>
      </c>
      <c r="F162" t="s">
        <v>37</v>
      </c>
      <c r="G162">
        <v>985</v>
      </c>
      <c r="H162" t="s">
        <v>38</v>
      </c>
      <c r="I162">
        <v>8</v>
      </c>
      <c r="J162">
        <v>2</v>
      </c>
      <c r="K162" t="s">
        <v>47</v>
      </c>
      <c r="L162">
        <v>3</v>
      </c>
      <c r="M162" t="s">
        <v>40</v>
      </c>
      <c r="N162">
        <v>84</v>
      </c>
      <c r="O162">
        <v>1</v>
      </c>
      <c r="P162">
        <v>2</v>
      </c>
      <c r="Q162" t="s">
        <v>55</v>
      </c>
      <c r="R162">
        <v>3</v>
      </c>
      <c r="S162" t="s">
        <v>42</v>
      </c>
      <c r="T162">
        <v>7405</v>
      </c>
      <c r="U162">
        <v>5906</v>
      </c>
      <c r="V162">
        <v>1</v>
      </c>
      <c r="W162" t="s">
        <v>35</v>
      </c>
      <c r="X162">
        <v>20</v>
      </c>
      <c r="Y162">
        <v>3</v>
      </c>
      <c r="Z162">
        <v>1</v>
      </c>
      <c r="AA162">
        <v>3</v>
      </c>
      <c r="AB162">
        <v>19</v>
      </c>
      <c r="AC162">
        <v>6</v>
      </c>
      <c r="AD162">
        <v>2</v>
      </c>
      <c r="AE162">
        <v>7</v>
      </c>
      <c r="AF162">
        <v>4</v>
      </c>
      <c r="AG162">
        <v>0</v>
      </c>
      <c r="AH162">
        <v>1</v>
      </c>
    </row>
    <row r="163" spans="1:34" x14ac:dyDescent="0.35">
      <c r="A163" t="s">
        <v>223</v>
      </c>
      <c r="B163">
        <v>37</v>
      </c>
      <c r="C163" t="str">
        <f t="shared" si="2"/>
        <v>35-44</v>
      </c>
      <c r="D163" t="s">
        <v>35</v>
      </c>
      <c r="E163" t="s">
        <v>36</v>
      </c>
      <c r="F163" t="s">
        <v>54</v>
      </c>
      <c r="G163">
        <v>466</v>
      </c>
      <c r="H163" t="s">
        <v>46</v>
      </c>
      <c r="I163">
        <v>4</v>
      </c>
      <c r="J163">
        <v>4</v>
      </c>
      <c r="K163" t="s">
        <v>103</v>
      </c>
      <c r="L163">
        <v>3</v>
      </c>
      <c r="M163" t="s">
        <v>40</v>
      </c>
      <c r="N163">
        <v>45</v>
      </c>
      <c r="O163">
        <v>3</v>
      </c>
      <c r="P163">
        <v>2</v>
      </c>
      <c r="Q163" t="s">
        <v>48</v>
      </c>
      <c r="R163">
        <v>3</v>
      </c>
      <c r="S163" t="s">
        <v>56</v>
      </c>
      <c r="T163">
        <v>6141</v>
      </c>
      <c r="U163">
        <v>6886</v>
      </c>
      <c r="V163">
        <v>3</v>
      </c>
      <c r="W163" t="s">
        <v>43</v>
      </c>
      <c r="X163">
        <v>21</v>
      </c>
      <c r="Y163">
        <v>3</v>
      </c>
      <c r="Z163">
        <v>4</v>
      </c>
      <c r="AA163">
        <v>0</v>
      </c>
      <c r="AB163">
        <v>10</v>
      </c>
      <c r="AC163">
        <v>2</v>
      </c>
      <c r="AD163">
        <v>1</v>
      </c>
      <c r="AE163">
        <v>8</v>
      </c>
      <c r="AF163">
        <v>0</v>
      </c>
      <c r="AG163">
        <v>0</v>
      </c>
      <c r="AH163">
        <v>0</v>
      </c>
    </row>
    <row r="164" spans="1:34" x14ac:dyDescent="0.35">
      <c r="A164" t="s">
        <v>224</v>
      </c>
      <c r="B164">
        <v>37</v>
      </c>
      <c r="C164" t="str">
        <f t="shared" si="2"/>
        <v>35-44</v>
      </c>
      <c r="D164" t="s">
        <v>43</v>
      </c>
      <c r="E164" t="s">
        <v>45</v>
      </c>
      <c r="F164" t="s">
        <v>37</v>
      </c>
      <c r="G164">
        <v>1222</v>
      </c>
      <c r="H164" t="s">
        <v>46</v>
      </c>
      <c r="I164">
        <v>18</v>
      </c>
      <c r="J164">
        <v>4</v>
      </c>
      <c r="K164" t="s">
        <v>64</v>
      </c>
      <c r="L164">
        <v>2</v>
      </c>
      <c r="M164" t="s">
        <v>40</v>
      </c>
      <c r="N164">
        <v>43</v>
      </c>
      <c r="O164">
        <v>3</v>
      </c>
      <c r="P164">
        <v>1</v>
      </c>
      <c r="Q164" t="s">
        <v>65</v>
      </c>
      <c r="R164">
        <v>1</v>
      </c>
      <c r="S164" t="s">
        <v>42</v>
      </c>
      <c r="T164">
        <v>5383</v>
      </c>
      <c r="U164">
        <v>11493</v>
      </c>
      <c r="V164">
        <v>1</v>
      </c>
      <c r="W164" t="s">
        <v>35</v>
      </c>
      <c r="X164">
        <v>19</v>
      </c>
      <c r="Y164">
        <v>3</v>
      </c>
      <c r="Z164">
        <v>3</v>
      </c>
      <c r="AA164">
        <v>2</v>
      </c>
      <c r="AB164">
        <v>18</v>
      </c>
      <c r="AC164">
        <v>3</v>
      </c>
      <c r="AD164">
        <v>3</v>
      </c>
      <c r="AE164">
        <v>0</v>
      </c>
      <c r="AF164">
        <v>0</v>
      </c>
      <c r="AG164">
        <v>0</v>
      </c>
      <c r="AH164">
        <v>0</v>
      </c>
    </row>
    <row r="165" spans="1:34" x14ac:dyDescent="0.35">
      <c r="A165" t="s">
        <v>225</v>
      </c>
      <c r="B165">
        <v>33</v>
      </c>
      <c r="C165" t="str">
        <f t="shared" si="2"/>
        <v>25-34</v>
      </c>
      <c r="D165" t="s">
        <v>35</v>
      </c>
      <c r="E165" t="s">
        <v>36</v>
      </c>
      <c r="F165" t="s">
        <v>37</v>
      </c>
      <c r="G165">
        <v>1416</v>
      </c>
      <c r="H165" t="s">
        <v>38</v>
      </c>
      <c r="I165">
        <v>26</v>
      </c>
      <c r="J165">
        <v>3</v>
      </c>
      <c r="K165" t="s">
        <v>64</v>
      </c>
      <c r="L165">
        <v>3</v>
      </c>
      <c r="M165" t="s">
        <v>51</v>
      </c>
      <c r="N165">
        <v>74</v>
      </c>
      <c r="O165">
        <v>4</v>
      </c>
      <c r="P165">
        <v>3</v>
      </c>
      <c r="Q165" t="s">
        <v>60</v>
      </c>
      <c r="R165">
        <v>2</v>
      </c>
      <c r="S165" t="s">
        <v>49</v>
      </c>
      <c r="T165">
        <v>8559</v>
      </c>
      <c r="U165">
        <v>17383</v>
      </c>
      <c r="V165">
        <v>0</v>
      </c>
      <c r="W165" t="s">
        <v>35</v>
      </c>
      <c r="X165">
        <v>11</v>
      </c>
      <c r="Y165">
        <v>3</v>
      </c>
      <c r="Z165">
        <v>1</v>
      </c>
      <c r="AA165">
        <v>0</v>
      </c>
      <c r="AB165">
        <v>12</v>
      </c>
      <c r="AC165">
        <v>3</v>
      </c>
      <c r="AD165">
        <v>3</v>
      </c>
      <c r="AE165">
        <v>12</v>
      </c>
      <c r="AF165">
        <v>1</v>
      </c>
      <c r="AG165">
        <v>1</v>
      </c>
      <c r="AH165">
        <v>10</v>
      </c>
    </row>
    <row r="166" spans="1:34" x14ac:dyDescent="0.35">
      <c r="A166" t="s">
        <v>226</v>
      </c>
      <c r="B166">
        <v>34</v>
      </c>
      <c r="C166" t="str">
        <f t="shared" si="2"/>
        <v>25-34</v>
      </c>
      <c r="D166" t="s">
        <v>43</v>
      </c>
      <c r="E166" t="s">
        <v>45</v>
      </c>
      <c r="F166" t="s">
        <v>37</v>
      </c>
      <c r="G166">
        <v>825</v>
      </c>
      <c r="H166" t="s">
        <v>46</v>
      </c>
      <c r="I166">
        <v>7</v>
      </c>
      <c r="J166">
        <v>1</v>
      </c>
      <c r="K166" t="s">
        <v>69</v>
      </c>
      <c r="L166">
        <v>3</v>
      </c>
      <c r="M166" t="s">
        <v>40</v>
      </c>
      <c r="N166">
        <v>59</v>
      </c>
      <c r="O166">
        <v>4</v>
      </c>
      <c r="P166">
        <v>2</v>
      </c>
      <c r="Q166" t="s">
        <v>65</v>
      </c>
      <c r="R166">
        <v>3</v>
      </c>
      <c r="S166" t="s">
        <v>56</v>
      </c>
      <c r="T166">
        <v>6192</v>
      </c>
      <c r="U166">
        <v>12308</v>
      </c>
      <c r="V166">
        <v>4</v>
      </c>
      <c r="W166" t="s">
        <v>43</v>
      </c>
      <c r="X166">
        <v>17</v>
      </c>
      <c r="Y166">
        <v>3</v>
      </c>
      <c r="Z166">
        <v>3</v>
      </c>
      <c r="AA166">
        <v>0</v>
      </c>
      <c r="AB166">
        <v>12</v>
      </c>
      <c r="AC166">
        <v>1</v>
      </c>
      <c r="AD166">
        <v>1</v>
      </c>
      <c r="AE166">
        <v>2</v>
      </c>
      <c r="AF166">
        <v>1</v>
      </c>
      <c r="AG166">
        <v>2</v>
      </c>
      <c r="AH166">
        <v>2</v>
      </c>
    </row>
    <row r="167" spans="1:34" x14ac:dyDescent="0.35">
      <c r="A167" t="s">
        <v>227</v>
      </c>
      <c r="B167">
        <v>38</v>
      </c>
      <c r="C167" t="str">
        <f t="shared" si="2"/>
        <v>35-44</v>
      </c>
      <c r="D167" t="s">
        <v>35</v>
      </c>
      <c r="E167" t="s">
        <v>36</v>
      </c>
      <c r="F167" t="s">
        <v>37</v>
      </c>
      <c r="G167">
        <v>1020</v>
      </c>
      <c r="H167" t="s">
        <v>46</v>
      </c>
      <c r="I167">
        <v>5</v>
      </c>
      <c r="J167">
        <v>3</v>
      </c>
      <c r="K167" t="s">
        <v>69</v>
      </c>
      <c r="L167">
        <v>3</v>
      </c>
      <c r="M167" t="s">
        <v>51</v>
      </c>
      <c r="N167">
        <v>86</v>
      </c>
      <c r="O167">
        <v>3</v>
      </c>
      <c r="P167">
        <v>1</v>
      </c>
      <c r="Q167" t="s">
        <v>80</v>
      </c>
      <c r="R167">
        <v>4</v>
      </c>
      <c r="S167" t="s">
        <v>42</v>
      </c>
      <c r="T167">
        <v>5676</v>
      </c>
      <c r="U167">
        <v>20802</v>
      </c>
      <c r="V167">
        <v>2</v>
      </c>
      <c r="W167" t="s">
        <v>35</v>
      </c>
      <c r="X167">
        <v>18</v>
      </c>
      <c r="Y167">
        <v>3</v>
      </c>
      <c r="Z167">
        <v>2</v>
      </c>
      <c r="AA167">
        <v>1</v>
      </c>
      <c r="AB167">
        <v>17</v>
      </c>
      <c r="AC167">
        <v>3</v>
      </c>
      <c r="AD167">
        <v>3</v>
      </c>
      <c r="AE167">
        <v>0</v>
      </c>
      <c r="AF167">
        <v>0</v>
      </c>
      <c r="AG167">
        <v>0</v>
      </c>
      <c r="AH167">
        <v>0</v>
      </c>
    </row>
    <row r="168" spans="1:34" x14ac:dyDescent="0.35">
      <c r="A168" t="s">
        <v>228</v>
      </c>
      <c r="B168">
        <v>35</v>
      </c>
      <c r="C168" t="str">
        <f t="shared" si="2"/>
        <v>35-44</v>
      </c>
      <c r="D168" t="s">
        <v>35</v>
      </c>
      <c r="E168" t="s">
        <v>36</v>
      </c>
      <c r="F168" t="s">
        <v>37</v>
      </c>
      <c r="G168">
        <v>573</v>
      </c>
      <c r="H168" t="s">
        <v>38</v>
      </c>
      <c r="I168">
        <v>25</v>
      </c>
      <c r="J168">
        <v>3</v>
      </c>
      <c r="K168" t="s">
        <v>64</v>
      </c>
      <c r="L168">
        <v>3</v>
      </c>
      <c r="M168" t="s">
        <v>40</v>
      </c>
      <c r="N168">
        <v>58</v>
      </c>
      <c r="O168">
        <v>3</v>
      </c>
      <c r="P168">
        <v>3</v>
      </c>
      <c r="Q168" t="s">
        <v>55</v>
      </c>
      <c r="R168">
        <v>2</v>
      </c>
      <c r="S168" t="s">
        <v>42</v>
      </c>
      <c r="T168">
        <v>8264</v>
      </c>
      <c r="U168">
        <v>13926</v>
      </c>
      <c r="V168">
        <v>4</v>
      </c>
      <c r="W168" t="s">
        <v>35</v>
      </c>
      <c r="X168">
        <v>11</v>
      </c>
      <c r="Y168">
        <v>3</v>
      </c>
      <c r="Z168">
        <v>2</v>
      </c>
      <c r="AA168">
        <v>2</v>
      </c>
      <c r="AB168">
        <v>13</v>
      </c>
      <c r="AC168">
        <v>1</v>
      </c>
      <c r="AD168">
        <v>3</v>
      </c>
      <c r="AE168">
        <v>13</v>
      </c>
      <c r="AF168">
        <v>3</v>
      </c>
      <c r="AG168">
        <v>0</v>
      </c>
      <c r="AH168">
        <v>0</v>
      </c>
    </row>
    <row r="169" spans="1:34" x14ac:dyDescent="0.35">
      <c r="A169" t="s">
        <v>229</v>
      </c>
      <c r="B169">
        <v>37</v>
      </c>
      <c r="C169" t="str">
        <f t="shared" si="2"/>
        <v>35-44</v>
      </c>
      <c r="D169" t="s">
        <v>35</v>
      </c>
      <c r="E169" t="s">
        <v>36</v>
      </c>
      <c r="F169" t="s">
        <v>54</v>
      </c>
      <c r="G169">
        <v>1130</v>
      </c>
      <c r="H169" t="s">
        <v>38</v>
      </c>
      <c r="I169">
        <v>19</v>
      </c>
      <c r="J169">
        <v>4</v>
      </c>
      <c r="K169" t="s">
        <v>69</v>
      </c>
      <c r="L169">
        <v>2</v>
      </c>
      <c r="M169" t="s">
        <v>40</v>
      </c>
      <c r="N169">
        <v>45</v>
      </c>
      <c r="O169">
        <v>3</v>
      </c>
      <c r="P169">
        <v>2</v>
      </c>
      <c r="Q169" t="s">
        <v>48</v>
      </c>
      <c r="R169">
        <v>3</v>
      </c>
      <c r="S169" t="s">
        <v>56</v>
      </c>
      <c r="T169">
        <v>5545</v>
      </c>
      <c r="U169">
        <v>26290</v>
      </c>
      <c r="V169">
        <v>2</v>
      </c>
      <c r="W169" t="s">
        <v>43</v>
      </c>
      <c r="X169">
        <v>14</v>
      </c>
      <c r="Y169">
        <v>3</v>
      </c>
      <c r="Z169">
        <v>4</v>
      </c>
      <c r="AA169">
        <v>1</v>
      </c>
      <c r="AB169">
        <v>13</v>
      </c>
      <c r="AC169">
        <v>4</v>
      </c>
      <c r="AD169">
        <v>2</v>
      </c>
      <c r="AE169">
        <v>5</v>
      </c>
      <c r="AF169">
        <v>2</v>
      </c>
      <c r="AG169">
        <v>1</v>
      </c>
      <c r="AH169">
        <v>5</v>
      </c>
    </row>
    <row r="170" spans="1:34" x14ac:dyDescent="0.35">
      <c r="A170" t="s">
        <v>230</v>
      </c>
      <c r="B170">
        <v>24</v>
      </c>
      <c r="C170" t="str">
        <f t="shared" si="2"/>
        <v>under 25</v>
      </c>
      <c r="D170" t="s">
        <v>43</v>
      </c>
      <c r="E170" t="s">
        <v>45</v>
      </c>
      <c r="F170" t="s">
        <v>54</v>
      </c>
      <c r="G170">
        <v>437</v>
      </c>
      <c r="H170" t="s">
        <v>38</v>
      </c>
      <c r="I170">
        <v>16</v>
      </c>
      <c r="J170">
        <v>2</v>
      </c>
      <c r="K170" t="s">
        <v>39</v>
      </c>
      <c r="L170">
        <v>1</v>
      </c>
      <c r="M170" t="s">
        <v>51</v>
      </c>
      <c r="N170">
        <v>47</v>
      </c>
      <c r="O170">
        <v>3</v>
      </c>
      <c r="P170">
        <v>1</v>
      </c>
      <c r="Q170" t="s">
        <v>52</v>
      </c>
      <c r="R170">
        <v>4</v>
      </c>
      <c r="S170" t="s">
        <v>42</v>
      </c>
      <c r="T170">
        <v>4602</v>
      </c>
      <c r="U170">
        <v>26712</v>
      </c>
      <c r="V170">
        <v>1</v>
      </c>
      <c r="W170" t="s">
        <v>35</v>
      </c>
      <c r="X170">
        <v>14</v>
      </c>
      <c r="Y170">
        <v>3</v>
      </c>
      <c r="Z170">
        <v>4</v>
      </c>
      <c r="AA170">
        <v>1</v>
      </c>
      <c r="AB170">
        <v>2</v>
      </c>
      <c r="AC170">
        <v>3</v>
      </c>
      <c r="AD170">
        <v>3</v>
      </c>
      <c r="AE170">
        <v>2</v>
      </c>
      <c r="AF170">
        <v>2</v>
      </c>
      <c r="AG170">
        <v>0</v>
      </c>
      <c r="AH170">
        <v>2</v>
      </c>
    </row>
    <row r="171" spans="1:34" x14ac:dyDescent="0.35">
      <c r="A171" t="s">
        <v>231</v>
      </c>
      <c r="B171">
        <v>39</v>
      </c>
      <c r="C171" t="str">
        <f t="shared" si="2"/>
        <v>35-44</v>
      </c>
      <c r="D171" t="s">
        <v>35</v>
      </c>
      <c r="E171" t="s">
        <v>36</v>
      </c>
      <c r="F171" t="s">
        <v>37</v>
      </c>
      <c r="G171">
        <v>494</v>
      </c>
      <c r="H171" t="s">
        <v>46</v>
      </c>
      <c r="I171">
        <v>21</v>
      </c>
      <c r="J171">
        <v>3</v>
      </c>
      <c r="K171" t="s">
        <v>103</v>
      </c>
      <c r="L171">
        <v>4</v>
      </c>
      <c r="M171" t="s">
        <v>40</v>
      </c>
      <c r="N171">
        <v>92</v>
      </c>
      <c r="O171">
        <v>1</v>
      </c>
      <c r="P171">
        <v>2</v>
      </c>
      <c r="Q171" t="s">
        <v>80</v>
      </c>
      <c r="R171">
        <v>3</v>
      </c>
      <c r="S171" t="s">
        <v>42</v>
      </c>
      <c r="T171">
        <v>9604</v>
      </c>
      <c r="U171">
        <v>13723</v>
      </c>
      <c r="V171">
        <v>3</v>
      </c>
      <c r="W171" t="s">
        <v>35</v>
      </c>
      <c r="X171">
        <v>14</v>
      </c>
      <c r="Y171">
        <v>3</v>
      </c>
      <c r="Z171">
        <v>3</v>
      </c>
      <c r="AA171">
        <v>0</v>
      </c>
      <c r="AB171">
        <v>20</v>
      </c>
      <c r="AC171">
        <v>3</v>
      </c>
      <c r="AD171">
        <v>4</v>
      </c>
      <c r="AE171">
        <v>6</v>
      </c>
      <c r="AF171">
        <v>4</v>
      </c>
      <c r="AG171">
        <v>1</v>
      </c>
      <c r="AH171">
        <v>1</v>
      </c>
    </row>
    <row r="172" spans="1:34" x14ac:dyDescent="0.35">
      <c r="A172" t="s">
        <v>232</v>
      </c>
      <c r="B172">
        <v>32</v>
      </c>
      <c r="C172" t="str">
        <f t="shared" si="2"/>
        <v>25-34</v>
      </c>
      <c r="D172" t="s">
        <v>35</v>
      </c>
      <c r="E172" t="s">
        <v>36</v>
      </c>
      <c r="F172" t="s">
        <v>37</v>
      </c>
      <c r="G172">
        <v>1385</v>
      </c>
      <c r="H172" t="s">
        <v>46</v>
      </c>
      <c r="I172">
        <v>1</v>
      </c>
      <c r="J172">
        <v>3</v>
      </c>
      <c r="K172" t="s">
        <v>103</v>
      </c>
      <c r="L172">
        <v>4</v>
      </c>
      <c r="M172" t="s">
        <v>51</v>
      </c>
      <c r="N172">
        <v>56</v>
      </c>
      <c r="O172">
        <v>3</v>
      </c>
      <c r="P172">
        <v>2</v>
      </c>
      <c r="Q172" t="s">
        <v>80</v>
      </c>
      <c r="R172">
        <v>2</v>
      </c>
      <c r="S172" t="s">
        <v>49</v>
      </c>
      <c r="T172">
        <v>5936</v>
      </c>
      <c r="U172">
        <v>13095</v>
      </c>
      <c r="V172">
        <v>2</v>
      </c>
      <c r="W172" t="s">
        <v>35</v>
      </c>
      <c r="X172">
        <v>18</v>
      </c>
      <c r="Y172">
        <v>3</v>
      </c>
      <c r="Z172">
        <v>1</v>
      </c>
      <c r="AA172">
        <v>1</v>
      </c>
      <c r="AB172">
        <v>10</v>
      </c>
      <c r="AC172">
        <v>4</v>
      </c>
      <c r="AD172">
        <v>3</v>
      </c>
      <c r="AE172">
        <v>1</v>
      </c>
      <c r="AF172">
        <v>1</v>
      </c>
      <c r="AG172">
        <v>1</v>
      </c>
      <c r="AH172">
        <v>0</v>
      </c>
    </row>
    <row r="173" spans="1:34" x14ac:dyDescent="0.35">
      <c r="A173" t="s">
        <v>233</v>
      </c>
      <c r="B173">
        <v>29</v>
      </c>
      <c r="C173" t="str">
        <f t="shared" si="2"/>
        <v>25-34</v>
      </c>
      <c r="D173" t="s">
        <v>35</v>
      </c>
      <c r="E173" t="s">
        <v>36</v>
      </c>
      <c r="F173" t="s">
        <v>37</v>
      </c>
      <c r="G173">
        <v>1313</v>
      </c>
      <c r="H173" t="s">
        <v>46</v>
      </c>
      <c r="I173">
        <v>4</v>
      </c>
      <c r="J173">
        <v>2</v>
      </c>
      <c r="K173" t="s">
        <v>47</v>
      </c>
      <c r="L173">
        <v>3</v>
      </c>
      <c r="M173" t="s">
        <v>40</v>
      </c>
      <c r="N173">
        <v>82</v>
      </c>
      <c r="O173">
        <v>4</v>
      </c>
      <c r="P173">
        <v>1</v>
      </c>
      <c r="Q173" t="s">
        <v>80</v>
      </c>
      <c r="R173">
        <v>1</v>
      </c>
      <c r="S173" t="s">
        <v>42</v>
      </c>
      <c r="T173">
        <v>3368</v>
      </c>
      <c r="U173">
        <v>17089</v>
      </c>
      <c r="V173">
        <v>2</v>
      </c>
      <c r="W173" t="s">
        <v>43</v>
      </c>
      <c r="X173">
        <v>17</v>
      </c>
      <c r="Y173">
        <v>3</v>
      </c>
      <c r="Z173">
        <v>3</v>
      </c>
      <c r="AA173">
        <v>3</v>
      </c>
      <c r="AB173">
        <v>4</v>
      </c>
      <c r="AC173">
        <v>1</v>
      </c>
      <c r="AD173">
        <v>3</v>
      </c>
      <c r="AE173">
        <v>2</v>
      </c>
      <c r="AF173">
        <v>2</v>
      </c>
      <c r="AG173">
        <v>2</v>
      </c>
      <c r="AH173">
        <v>0</v>
      </c>
    </row>
    <row r="174" spans="1:34" x14ac:dyDescent="0.35">
      <c r="A174" t="s">
        <v>234</v>
      </c>
      <c r="B174">
        <v>37</v>
      </c>
      <c r="C174" t="str">
        <f t="shared" si="2"/>
        <v>35-44</v>
      </c>
      <c r="D174" t="s">
        <v>35</v>
      </c>
      <c r="E174" t="s">
        <v>36</v>
      </c>
      <c r="F174" t="s">
        <v>37</v>
      </c>
      <c r="G174">
        <v>312</v>
      </c>
      <c r="H174" t="s">
        <v>38</v>
      </c>
      <c r="I174">
        <v>12</v>
      </c>
      <c r="J174">
        <v>2</v>
      </c>
      <c r="K174" t="s">
        <v>39</v>
      </c>
      <c r="L174">
        <v>1</v>
      </c>
      <c r="M174" t="s">
        <v>51</v>
      </c>
      <c r="N174">
        <v>62</v>
      </c>
      <c r="O174">
        <v>3</v>
      </c>
      <c r="P174">
        <v>2</v>
      </c>
      <c r="Q174" t="s">
        <v>41</v>
      </c>
      <c r="R174">
        <v>2</v>
      </c>
      <c r="S174" t="s">
        <v>49</v>
      </c>
      <c r="T174">
        <v>8765</v>
      </c>
      <c r="U174">
        <v>15039</v>
      </c>
      <c r="V174">
        <v>1</v>
      </c>
      <c r="W174" t="s">
        <v>43</v>
      </c>
      <c r="X174">
        <v>18</v>
      </c>
      <c r="Y174">
        <v>4</v>
      </c>
      <c r="Z174">
        <v>3</v>
      </c>
      <c r="AA174">
        <v>0</v>
      </c>
      <c r="AB174">
        <v>13</v>
      </c>
      <c r="AC174">
        <v>4</v>
      </c>
      <c r="AD174">
        <v>3</v>
      </c>
      <c r="AE174">
        <v>7</v>
      </c>
      <c r="AF174">
        <v>0</v>
      </c>
      <c r="AG174">
        <v>1</v>
      </c>
      <c r="AH174">
        <v>0</v>
      </c>
    </row>
    <row r="175" spans="1:34" x14ac:dyDescent="0.35">
      <c r="A175" t="s">
        <v>235</v>
      </c>
      <c r="B175">
        <v>46</v>
      </c>
      <c r="C175" t="str">
        <f t="shared" si="2"/>
        <v>45-54</v>
      </c>
      <c r="D175" t="s">
        <v>35</v>
      </c>
      <c r="E175" t="s">
        <v>36</v>
      </c>
      <c r="F175" t="s">
        <v>37</v>
      </c>
      <c r="G175">
        <v>1404</v>
      </c>
      <c r="H175" t="s">
        <v>38</v>
      </c>
      <c r="I175">
        <v>10</v>
      </c>
      <c r="J175">
        <v>4</v>
      </c>
      <c r="K175" t="s">
        <v>69</v>
      </c>
      <c r="L175">
        <v>1</v>
      </c>
      <c r="M175" t="s">
        <v>40</v>
      </c>
      <c r="N175">
        <v>96</v>
      </c>
      <c r="O175">
        <v>3</v>
      </c>
      <c r="P175">
        <v>1</v>
      </c>
      <c r="Q175" t="s">
        <v>41</v>
      </c>
      <c r="R175">
        <v>3</v>
      </c>
      <c r="S175" t="s">
        <v>56</v>
      </c>
      <c r="T175">
        <v>5873</v>
      </c>
      <c r="U175">
        <v>23243</v>
      </c>
      <c r="V175">
        <v>2</v>
      </c>
      <c r="W175" t="s">
        <v>43</v>
      </c>
      <c r="X175">
        <v>16</v>
      </c>
      <c r="Y175">
        <v>3</v>
      </c>
      <c r="Z175">
        <v>1</v>
      </c>
      <c r="AA175">
        <v>1</v>
      </c>
      <c r="AB175">
        <v>23</v>
      </c>
      <c r="AC175">
        <v>2</v>
      </c>
      <c r="AD175">
        <v>3</v>
      </c>
      <c r="AE175">
        <v>1</v>
      </c>
      <c r="AF175">
        <v>1</v>
      </c>
      <c r="AG175">
        <v>1</v>
      </c>
      <c r="AH175">
        <v>1</v>
      </c>
    </row>
    <row r="176" spans="1:34" x14ac:dyDescent="0.35">
      <c r="A176" t="s">
        <v>236</v>
      </c>
      <c r="B176">
        <v>55</v>
      </c>
      <c r="C176" t="str">
        <f t="shared" si="2"/>
        <v>55+</v>
      </c>
      <c r="D176" t="s">
        <v>35</v>
      </c>
      <c r="E176" t="s">
        <v>36</v>
      </c>
      <c r="F176" t="s">
        <v>59</v>
      </c>
      <c r="G176">
        <v>1135</v>
      </c>
      <c r="H176" t="s">
        <v>38</v>
      </c>
      <c r="I176">
        <v>6</v>
      </c>
      <c r="J176">
        <v>4</v>
      </c>
      <c r="K176" t="s">
        <v>47</v>
      </c>
      <c r="L176">
        <v>3</v>
      </c>
      <c r="M176" t="s">
        <v>40</v>
      </c>
      <c r="N176">
        <v>39</v>
      </c>
      <c r="O176">
        <v>2</v>
      </c>
      <c r="P176">
        <v>2</v>
      </c>
      <c r="Q176" t="s">
        <v>52</v>
      </c>
      <c r="R176">
        <v>4</v>
      </c>
      <c r="S176" t="s">
        <v>42</v>
      </c>
      <c r="T176">
        <v>8631</v>
      </c>
      <c r="U176">
        <v>15322</v>
      </c>
      <c r="V176">
        <v>2</v>
      </c>
      <c r="W176" t="s">
        <v>35</v>
      </c>
      <c r="X176">
        <v>16</v>
      </c>
      <c r="Y176">
        <v>3</v>
      </c>
      <c r="Z176">
        <v>4</v>
      </c>
      <c r="AA176">
        <v>0</v>
      </c>
      <c r="AB176">
        <v>33</v>
      </c>
      <c r="AC176">
        <v>2</v>
      </c>
      <c r="AD176">
        <v>3</v>
      </c>
      <c r="AE176">
        <v>6</v>
      </c>
      <c r="AF176">
        <v>0</v>
      </c>
      <c r="AG176">
        <v>1</v>
      </c>
      <c r="AH176">
        <v>2</v>
      </c>
    </row>
    <row r="177" spans="1:34" x14ac:dyDescent="0.35">
      <c r="A177" t="s">
        <v>237</v>
      </c>
      <c r="B177">
        <v>34</v>
      </c>
      <c r="C177" t="str">
        <f t="shared" si="2"/>
        <v>25-34</v>
      </c>
      <c r="D177" t="s">
        <v>35</v>
      </c>
      <c r="E177" t="s">
        <v>36</v>
      </c>
      <c r="F177" t="s">
        <v>59</v>
      </c>
      <c r="G177">
        <v>514</v>
      </c>
      <c r="H177" t="s">
        <v>38</v>
      </c>
      <c r="I177">
        <v>1</v>
      </c>
      <c r="J177">
        <v>2</v>
      </c>
      <c r="K177" t="s">
        <v>64</v>
      </c>
      <c r="L177">
        <v>3</v>
      </c>
      <c r="M177" t="s">
        <v>51</v>
      </c>
      <c r="N177">
        <v>57</v>
      </c>
      <c r="O177">
        <v>3</v>
      </c>
      <c r="P177">
        <v>2</v>
      </c>
      <c r="Q177" t="s">
        <v>55</v>
      </c>
      <c r="R177">
        <v>2</v>
      </c>
      <c r="S177" t="s">
        <v>42</v>
      </c>
      <c r="T177">
        <v>7012</v>
      </c>
      <c r="U177">
        <v>22378</v>
      </c>
      <c r="V177">
        <v>3</v>
      </c>
      <c r="W177" t="s">
        <v>35</v>
      </c>
      <c r="X177">
        <v>18</v>
      </c>
      <c r="Y177">
        <v>4</v>
      </c>
      <c r="Z177">
        <v>3</v>
      </c>
      <c r="AA177">
        <v>1</v>
      </c>
      <c r="AB177">
        <v>14</v>
      </c>
      <c r="AC177">
        <v>1</v>
      </c>
      <c r="AD177">
        <v>3</v>
      </c>
      <c r="AE177">
        <v>0</v>
      </c>
      <c r="AF177">
        <v>0</v>
      </c>
      <c r="AG177">
        <v>0</v>
      </c>
      <c r="AH177">
        <v>0</v>
      </c>
    </row>
    <row r="178" spans="1:34" x14ac:dyDescent="0.35">
      <c r="A178" t="s">
        <v>238</v>
      </c>
      <c r="B178">
        <v>46</v>
      </c>
      <c r="C178" t="str">
        <f t="shared" si="2"/>
        <v>45-54</v>
      </c>
      <c r="D178" t="s">
        <v>35</v>
      </c>
      <c r="E178" t="s">
        <v>36</v>
      </c>
      <c r="F178" t="s">
        <v>37</v>
      </c>
      <c r="G178">
        <v>1485</v>
      </c>
      <c r="H178" t="s">
        <v>38</v>
      </c>
      <c r="I178">
        <v>2</v>
      </c>
      <c r="J178">
        <v>5</v>
      </c>
      <c r="K178" t="s">
        <v>39</v>
      </c>
      <c r="L178">
        <v>2</v>
      </c>
      <c r="M178" t="s">
        <v>51</v>
      </c>
      <c r="N178">
        <v>93</v>
      </c>
      <c r="O178">
        <v>2</v>
      </c>
      <c r="P178">
        <v>3</v>
      </c>
      <c r="Q178" t="s">
        <v>60</v>
      </c>
      <c r="R178">
        <v>4</v>
      </c>
      <c r="S178" t="s">
        <v>49</v>
      </c>
      <c r="T178">
        <v>9701</v>
      </c>
      <c r="U178">
        <v>12874</v>
      </c>
      <c r="V178">
        <v>2</v>
      </c>
      <c r="W178" t="s">
        <v>43</v>
      </c>
      <c r="X178">
        <v>19</v>
      </c>
      <c r="Y178">
        <v>3</v>
      </c>
      <c r="Z178">
        <v>2</v>
      </c>
      <c r="AA178">
        <v>2</v>
      </c>
      <c r="AB178">
        <v>26</v>
      </c>
      <c r="AC178">
        <v>4</v>
      </c>
      <c r="AD178">
        <v>2</v>
      </c>
      <c r="AE178">
        <v>10</v>
      </c>
      <c r="AF178">
        <v>1</v>
      </c>
      <c r="AG178">
        <v>2</v>
      </c>
      <c r="AH178">
        <v>3</v>
      </c>
    </row>
    <row r="179" spans="1:34" x14ac:dyDescent="0.35">
      <c r="A179" t="s">
        <v>239</v>
      </c>
      <c r="B179">
        <v>37</v>
      </c>
      <c r="C179" t="str">
        <f t="shared" si="2"/>
        <v>35-44</v>
      </c>
      <c r="D179" t="s">
        <v>43</v>
      </c>
      <c r="E179" t="s">
        <v>45</v>
      </c>
      <c r="F179" t="s">
        <v>37</v>
      </c>
      <c r="G179">
        <v>1169</v>
      </c>
      <c r="H179" t="s">
        <v>38</v>
      </c>
      <c r="I179">
        <v>4</v>
      </c>
      <c r="J179">
        <v>2</v>
      </c>
      <c r="K179" t="s">
        <v>39</v>
      </c>
      <c r="L179">
        <v>3</v>
      </c>
      <c r="M179" t="s">
        <v>51</v>
      </c>
      <c r="N179">
        <v>51</v>
      </c>
      <c r="O179">
        <v>1</v>
      </c>
      <c r="P179">
        <v>1</v>
      </c>
      <c r="Q179" t="s">
        <v>52</v>
      </c>
      <c r="R179">
        <v>3</v>
      </c>
      <c r="S179" t="s">
        <v>49</v>
      </c>
      <c r="T179">
        <v>5586</v>
      </c>
      <c r="U179">
        <v>13455</v>
      </c>
      <c r="V179">
        <v>7</v>
      </c>
      <c r="W179" t="s">
        <v>43</v>
      </c>
      <c r="X179">
        <v>11</v>
      </c>
      <c r="Y179">
        <v>4</v>
      </c>
      <c r="Z179">
        <v>2</v>
      </c>
      <c r="AA179">
        <v>0</v>
      </c>
      <c r="AB179">
        <v>18</v>
      </c>
      <c r="AC179">
        <v>2</v>
      </c>
      <c r="AD179">
        <v>3</v>
      </c>
      <c r="AE179">
        <v>1</v>
      </c>
      <c r="AF179">
        <v>1</v>
      </c>
      <c r="AG179">
        <v>1</v>
      </c>
      <c r="AH179">
        <v>0</v>
      </c>
    </row>
    <row r="180" spans="1:34" x14ac:dyDescent="0.35">
      <c r="A180" t="s">
        <v>240</v>
      </c>
      <c r="B180">
        <v>28</v>
      </c>
      <c r="C180" t="str">
        <f t="shared" si="2"/>
        <v>25-34</v>
      </c>
      <c r="D180" t="s">
        <v>43</v>
      </c>
      <c r="E180" t="s">
        <v>45</v>
      </c>
      <c r="F180" t="s">
        <v>37</v>
      </c>
      <c r="G180">
        <v>786</v>
      </c>
      <c r="H180" t="s">
        <v>38</v>
      </c>
      <c r="I180">
        <v>23</v>
      </c>
      <c r="J180">
        <v>4</v>
      </c>
      <c r="K180" t="s">
        <v>47</v>
      </c>
      <c r="L180">
        <v>1</v>
      </c>
      <c r="M180" t="s">
        <v>51</v>
      </c>
      <c r="N180">
        <v>63</v>
      </c>
      <c r="O180">
        <v>2</v>
      </c>
      <c r="P180">
        <v>1</v>
      </c>
      <c r="Q180" t="s">
        <v>48</v>
      </c>
      <c r="R180">
        <v>2</v>
      </c>
      <c r="S180" t="s">
        <v>56</v>
      </c>
      <c r="T180">
        <v>4666</v>
      </c>
      <c r="U180">
        <v>18740</v>
      </c>
      <c r="V180">
        <v>3</v>
      </c>
      <c r="W180" t="s">
        <v>43</v>
      </c>
      <c r="X180">
        <v>19</v>
      </c>
      <c r="Y180">
        <v>4</v>
      </c>
      <c r="Z180">
        <v>3</v>
      </c>
      <c r="AA180">
        <v>1</v>
      </c>
      <c r="AB180">
        <v>7</v>
      </c>
      <c r="AC180">
        <v>5</v>
      </c>
      <c r="AD180">
        <v>3</v>
      </c>
      <c r="AE180">
        <v>4</v>
      </c>
      <c r="AF180">
        <v>3</v>
      </c>
      <c r="AG180">
        <v>3</v>
      </c>
      <c r="AH180">
        <v>1</v>
      </c>
    </row>
    <row r="181" spans="1:34" x14ac:dyDescent="0.35">
      <c r="A181" t="s">
        <v>241</v>
      </c>
      <c r="B181">
        <v>34</v>
      </c>
      <c r="C181" t="str">
        <f t="shared" si="2"/>
        <v>25-34</v>
      </c>
      <c r="D181" t="s">
        <v>35</v>
      </c>
      <c r="E181" t="s">
        <v>36</v>
      </c>
      <c r="F181" t="s">
        <v>37</v>
      </c>
      <c r="G181">
        <v>1088</v>
      </c>
      <c r="H181" t="s">
        <v>38</v>
      </c>
      <c r="I181">
        <v>5</v>
      </c>
      <c r="J181">
        <v>1</v>
      </c>
      <c r="K181" t="s">
        <v>47</v>
      </c>
      <c r="L181">
        <v>4</v>
      </c>
      <c r="M181" t="s">
        <v>40</v>
      </c>
      <c r="N181">
        <v>91</v>
      </c>
      <c r="O181">
        <v>3</v>
      </c>
      <c r="P181">
        <v>1</v>
      </c>
      <c r="Q181" t="s">
        <v>52</v>
      </c>
      <c r="R181">
        <v>3</v>
      </c>
      <c r="S181" t="s">
        <v>56</v>
      </c>
      <c r="T181">
        <v>5198</v>
      </c>
      <c r="U181">
        <v>4956</v>
      </c>
      <c r="V181">
        <v>3</v>
      </c>
      <c r="W181" t="s">
        <v>43</v>
      </c>
      <c r="X181">
        <v>16</v>
      </c>
      <c r="Y181">
        <v>3</v>
      </c>
      <c r="Z181">
        <v>4</v>
      </c>
      <c r="AA181">
        <v>1</v>
      </c>
      <c r="AB181">
        <v>11</v>
      </c>
      <c r="AC181">
        <v>3</v>
      </c>
      <c r="AD181">
        <v>3</v>
      </c>
      <c r="AE181">
        <v>0</v>
      </c>
      <c r="AF181">
        <v>0</v>
      </c>
      <c r="AG181">
        <v>0</v>
      </c>
      <c r="AH181">
        <v>0</v>
      </c>
    </row>
    <row r="182" spans="1:34" x14ac:dyDescent="0.35">
      <c r="A182" t="s">
        <v>242</v>
      </c>
      <c r="B182">
        <v>33</v>
      </c>
      <c r="C182" t="str">
        <f t="shared" si="2"/>
        <v>25-34</v>
      </c>
      <c r="D182" t="s">
        <v>35</v>
      </c>
      <c r="E182" t="s">
        <v>36</v>
      </c>
      <c r="F182" t="s">
        <v>54</v>
      </c>
      <c r="G182">
        <v>968</v>
      </c>
      <c r="H182" t="s">
        <v>38</v>
      </c>
      <c r="I182">
        <v>1</v>
      </c>
      <c r="J182">
        <v>3</v>
      </c>
      <c r="K182" t="s">
        <v>69</v>
      </c>
      <c r="L182">
        <v>3</v>
      </c>
      <c r="M182" t="s">
        <v>40</v>
      </c>
      <c r="N182">
        <v>94</v>
      </c>
      <c r="O182">
        <v>3</v>
      </c>
      <c r="P182">
        <v>2</v>
      </c>
      <c r="Q182" t="s">
        <v>52</v>
      </c>
      <c r="R182">
        <v>1</v>
      </c>
      <c r="S182" t="s">
        <v>56</v>
      </c>
      <c r="T182">
        <v>5720</v>
      </c>
      <c r="U182">
        <v>19459</v>
      </c>
      <c r="V182">
        <v>5</v>
      </c>
      <c r="W182" t="s">
        <v>35</v>
      </c>
      <c r="X182">
        <v>18</v>
      </c>
      <c r="Y182">
        <v>3</v>
      </c>
      <c r="Z182">
        <v>2</v>
      </c>
      <c r="AA182">
        <v>0</v>
      </c>
      <c r="AB182">
        <v>9</v>
      </c>
      <c r="AC182">
        <v>0</v>
      </c>
      <c r="AD182">
        <v>3</v>
      </c>
      <c r="AE182">
        <v>7</v>
      </c>
      <c r="AF182">
        <v>2</v>
      </c>
      <c r="AG182">
        <v>7</v>
      </c>
      <c r="AH182">
        <v>2</v>
      </c>
    </row>
    <row r="183" spans="1:34" x14ac:dyDescent="0.35">
      <c r="A183" t="s">
        <v>243</v>
      </c>
      <c r="B183">
        <v>36</v>
      </c>
      <c r="C183" t="str">
        <f t="shared" si="2"/>
        <v>35-44</v>
      </c>
      <c r="D183" t="s">
        <v>35</v>
      </c>
      <c r="E183" t="s">
        <v>36</v>
      </c>
      <c r="F183" t="s">
        <v>54</v>
      </c>
      <c r="G183">
        <v>374</v>
      </c>
      <c r="H183" t="s">
        <v>38</v>
      </c>
      <c r="I183">
        <v>4</v>
      </c>
      <c r="J183">
        <v>3</v>
      </c>
      <c r="K183" t="s">
        <v>64</v>
      </c>
      <c r="L183">
        <v>2</v>
      </c>
      <c r="M183" t="s">
        <v>51</v>
      </c>
      <c r="N183">
        <v>95</v>
      </c>
      <c r="O183">
        <v>3</v>
      </c>
      <c r="P183">
        <v>1</v>
      </c>
      <c r="Q183" t="s">
        <v>55</v>
      </c>
      <c r="R183">
        <v>2</v>
      </c>
      <c r="S183" t="s">
        <v>49</v>
      </c>
      <c r="T183">
        <v>5135</v>
      </c>
      <c r="U183">
        <v>3102</v>
      </c>
      <c r="V183">
        <v>0</v>
      </c>
      <c r="W183" t="s">
        <v>35</v>
      </c>
      <c r="X183">
        <v>17</v>
      </c>
      <c r="Y183">
        <v>3</v>
      </c>
      <c r="Z183">
        <v>1</v>
      </c>
      <c r="AA183">
        <v>2</v>
      </c>
      <c r="AB183">
        <v>14</v>
      </c>
      <c r="AC183">
        <v>3</v>
      </c>
      <c r="AD183">
        <v>3</v>
      </c>
      <c r="AE183">
        <v>1</v>
      </c>
      <c r="AF183">
        <v>1</v>
      </c>
      <c r="AG183">
        <v>1</v>
      </c>
      <c r="AH183">
        <v>1</v>
      </c>
    </row>
    <row r="184" spans="1:34" x14ac:dyDescent="0.35">
      <c r="A184" t="s">
        <v>244</v>
      </c>
      <c r="B184">
        <v>39</v>
      </c>
      <c r="C184" t="str">
        <f t="shared" si="2"/>
        <v>35-44</v>
      </c>
      <c r="D184" t="s">
        <v>35</v>
      </c>
      <c r="E184" t="s">
        <v>36</v>
      </c>
      <c r="F184" t="s">
        <v>59</v>
      </c>
      <c r="G184">
        <v>533</v>
      </c>
      <c r="H184" t="s">
        <v>38</v>
      </c>
      <c r="I184">
        <v>5</v>
      </c>
      <c r="J184">
        <v>2</v>
      </c>
      <c r="K184" t="s">
        <v>64</v>
      </c>
      <c r="L184">
        <v>3</v>
      </c>
      <c r="M184" t="s">
        <v>40</v>
      </c>
      <c r="N184">
        <v>51</v>
      </c>
      <c r="O184">
        <v>3</v>
      </c>
      <c r="P184">
        <v>1</v>
      </c>
      <c r="Q184" t="s">
        <v>55</v>
      </c>
      <c r="R184">
        <v>3</v>
      </c>
      <c r="S184" t="s">
        <v>49</v>
      </c>
      <c r="T184">
        <v>5561</v>
      </c>
      <c r="U184">
        <v>23352</v>
      </c>
      <c r="V184">
        <v>2</v>
      </c>
      <c r="W184" t="s">
        <v>35</v>
      </c>
      <c r="X184">
        <v>13</v>
      </c>
      <c r="Y184">
        <v>3</v>
      </c>
      <c r="Z184">
        <v>4</v>
      </c>
      <c r="AA184">
        <v>0</v>
      </c>
      <c r="AB184">
        <v>17</v>
      </c>
      <c r="AC184">
        <v>3</v>
      </c>
      <c r="AD184">
        <v>2</v>
      </c>
      <c r="AE184">
        <v>3</v>
      </c>
      <c r="AF184">
        <v>0</v>
      </c>
      <c r="AG184">
        <v>3</v>
      </c>
      <c r="AH184">
        <v>3</v>
      </c>
    </row>
    <row r="185" spans="1:34" x14ac:dyDescent="0.35">
      <c r="A185" t="s">
        <v>245</v>
      </c>
      <c r="B185">
        <v>40</v>
      </c>
      <c r="C185" t="str">
        <f t="shared" si="2"/>
        <v>35-44</v>
      </c>
      <c r="D185" t="s">
        <v>35</v>
      </c>
      <c r="E185" t="s">
        <v>36</v>
      </c>
      <c r="F185" t="s">
        <v>37</v>
      </c>
      <c r="G185">
        <v>1109</v>
      </c>
      <c r="H185" t="s">
        <v>38</v>
      </c>
      <c r="I185">
        <v>7</v>
      </c>
      <c r="J185">
        <v>4</v>
      </c>
      <c r="K185" t="s">
        <v>64</v>
      </c>
      <c r="L185">
        <v>1</v>
      </c>
      <c r="M185" t="s">
        <v>40</v>
      </c>
      <c r="N185">
        <v>44</v>
      </c>
      <c r="O185">
        <v>3</v>
      </c>
      <c r="P185">
        <v>2</v>
      </c>
      <c r="Q185" t="s">
        <v>62</v>
      </c>
      <c r="R185">
        <v>4</v>
      </c>
      <c r="S185" t="s">
        <v>49</v>
      </c>
      <c r="T185">
        <v>7398</v>
      </c>
      <c r="U185">
        <v>22369</v>
      </c>
      <c r="V185">
        <v>3</v>
      </c>
      <c r="W185" t="s">
        <v>35</v>
      </c>
      <c r="X185">
        <v>17</v>
      </c>
      <c r="Y185">
        <v>3</v>
      </c>
      <c r="Z185">
        <v>3</v>
      </c>
      <c r="AA185">
        <v>1</v>
      </c>
      <c r="AB185">
        <v>16</v>
      </c>
      <c r="AC185">
        <v>3</v>
      </c>
      <c r="AD185">
        <v>3</v>
      </c>
      <c r="AE185">
        <v>0</v>
      </c>
      <c r="AF185">
        <v>0</v>
      </c>
      <c r="AG185">
        <v>0</v>
      </c>
      <c r="AH185">
        <v>0</v>
      </c>
    </row>
    <row r="186" spans="1:34" x14ac:dyDescent="0.35">
      <c r="A186" t="s">
        <v>246</v>
      </c>
      <c r="B186">
        <v>31</v>
      </c>
      <c r="C186" t="str">
        <f t="shared" si="2"/>
        <v>25-34</v>
      </c>
      <c r="D186" t="s">
        <v>35</v>
      </c>
      <c r="E186" t="s">
        <v>36</v>
      </c>
      <c r="F186" t="s">
        <v>54</v>
      </c>
      <c r="G186">
        <v>1418</v>
      </c>
      <c r="H186" t="s">
        <v>46</v>
      </c>
      <c r="I186">
        <v>1</v>
      </c>
      <c r="J186">
        <v>2</v>
      </c>
      <c r="K186" t="s">
        <v>64</v>
      </c>
      <c r="L186">
        <v>2</v>
      </c>
      <c r="M186" t="s">
        <v>40</v>
      </c>
      <c r="N186">
        <v>71</v>
      </c>
      <c r="O186">
        <v>3</v>
      </c>
      <c r="P186">
        <v>2</v>
      </c>
      <c r="Q186" t="s">
        <v>48</v>
      </c>
      <c r="R186">
        <v>3</v>
      </c>
      <c r="S186" t="s">
        <v>49</v>
      </c>
      <c r="T186">
        <v>7456</v>
      </c>
      <c r="U186">
        <v>12139</v>
      </c>
      <c r="V186">
        <v>3</v>
      </c>
      <c r="W186" t="s">
        <v>35</v>
      </c>
      <c r="X186">
        <v>11</v>
      </c>
      <c r="Y186">
        <v>3</v>
      </c>
      <c r="Z186">
        <v>4</v>
      </c>
      <c r="AA186">
        <v>1</v>
      </c>
      <c r="AB186">
        <v>9</v>
      </c>
      <c r="AC186">
        <v>3</v>
      </c>
      <c r="AD186">
        <v>3</v>
      </c>
      <c r="AE186">
        <v>0</v>
      </c>
      <c r="AF186">
        <v>0</v>
      </c>
      <c r="AG186">
        <v>0</v>
      </c>
      <c r="AH186">
        <v>0</v>
      </c>
    </row>
    <row r="187" spans="1:34" x14ac:dyDescent="0.35">
      <c r="A187" t="s">
        <v>247</v>
      </c>
      <c r="B187">
        <v>32</v>
      </c>
      <c r="C187" t="str">
        <f t="shared" si="2"/>
        <v>25-34</v>
      </c>
      <c r="D187" t="s">
        <v>35</v>
      </c>
      <c r="E187" t="s">
        <v>36</v>
      </c>
      <c r="F187" t="s">
        <v>37</v>
      </c>
      <c r="G187">
        <v>563</v>
      </c>
      <c r="H187" t="s">
        <v>46</v>
      </c>
      <c r="I187">
        <v>2</v>
      </c>
      <c r="J187">
        <v>2</v>
      </c>
      <c r="K187" t="s">
        <v>64</v>
      </c>
      <c r="L187">
        <v>1</v>
      </c>
      <c r="M187" t="s">
        <v>51</v>
      </c>
      <c r="N187">
        <v>98</v>
      </c>
      <c r="O187">
        <v>3</v>
      </c>
      <c r="P187">
        <v>1</v>
      </c>
      <c r="Q187" t="s">
        <v>48</v>
      </c>
      <c r="R187">
        <v>2</v>
      </c>
      <c r="S187" t="s">
        <v>56</v>
      </c>
      <c r="T187">
        <v>3554</v>
      </c>
      <c r="U187">
        <v>2783</v>
      </c>
      <c r="V187">
        <v>1</v>
      </c>
      <c r="W187" t="s">
        <v>35</v>
      </c>
      <c r="X187">
        <v>17</v>
      </c>
      <c r="Y187">
        <v>3</v>
      </c>
      <c r="Z187">
        <v>1</v>
      </c>
      <c r="AA187">
        <v>2</v>
      </c>
      <c r="AB187">
        <v>7</v>
      </c>
      <c r="AC187">
        <v>2</v>
      </c>
      <c r="AD187">
        <v>4</v>
      </c>
      <c r="AE187">
        <v>2</v>
      </c>
      <c r="AF187">
        <v>2</v>
      </c>
      <c r="AG187">
        <v>1</v>
      </c>
      <c r="AH187">
        <v>0</v>
      </c>
    </row>
    <row r="188" spans="1:34" x14ac:dyDescent="0.35">
      <c r="A188" t="s">
        <v>248</v>
      </c>
      <c r="B188">
        <v>42</v>
      </c>
      <c r="C188" t="str">
        <f t="shared" si="2"/>
        <v>35-44</v>
      </c>
      <c r="D188" t="s">
        <v>35</v>
      </c>
      <c r="E188" t="s">
        <v>36</v>
      </c>
      <c r="F188" t="s">
        <v>59</v>
      </c>
      <c r="G188">
        <v>1017</v>
      </c>
      <c r="H188" t="s">
        <v>38</v>
      </c>
      <c r="I188">
        <v>1</v>
      </c>
      <c r="J188">
        <v>2</v>
      </c>
      <c r="K188" t="s">
        <v>47</v>
      </c>
      <c r="L188">
        <v>4</v>
      </c>
      <c r="M188" t="s">
        <v>40</v>
      </c>
      <c r="N188">
        <v>93</v>
      </c>
      <c r="O188">
        <v>3</v>
      </c>
      <c r="P188">
        <v>3</v>
      </c>
      <c r="Q188" t="s">
        <v>55</v>
      </c>
      <c r="R188">
        <v>3</v>
      </c>
      <c r="S188" t="s">
        <v>42</v>
      </c>
      <c r="T188">
        <v>7851</v>
      </c>
      <c r="U188">
        <v>8696</v>
      </c>
      <c r="V188">
        <v>1</v>
      </c>
      <c r="W188" t="s">
        <v>43</v>
      </c>
      <c r="X188">
        <v>12</v>
      </c>
      <c r="Y188">
        <v>3</v>
      </c>
      <c r="Z188">
        <v>1</v>
      </c>
      <c r="AA188">
        <v>1</v>
      </c>
      <c r="AB188">
        <v>20</v>
      </c>
      <c r="AC188">
        <v>2</v>
      </c>
      <c r="AD188">
        <v>3</v>
      </c>
      <c r="AE188">
        <v>5</v>
      </c>
      <c r="AF188">
        <v>5</v>
      </c>
      <c r="AG188">
        <v>1</v>
      </c>
      <c r="AH188">
        <v>5</v>
      </c>
    </row>
    <row r="189" spans="1:34" x14ac:dyDescent="0.35">
      <c r="A189" t="s">
        <v>249</v>
      </c>
      <c r="B189">
        <v>58</v>
      </c>
      <c r="C189" t="str">
        <f t="shared" si="2"/>
        <v>55+</v>
      </c>
      <c r="D189" t="s">
        <v>43</v>
      </c>
      <c r="E189" t="s">
        <v>45</v>
      </c>
      <c r="F189" t="s">
        <v>37</v>
      </c>
      <c r="G189">
        <v>287</v>
      </c>
      <c r="H189" t="s">
        <v>38</v>
      </c>
      <c r="I189">
        <v>1</v>
      </c>
      <c r="J189">
        <v>4</v>
      </c>
      <c r="K189" t="s">
        <v>69</v>
      </c>
      <c r="L189">
        <v>3</v>
      </c>
      <c r="M189" t="s">
        <v>40</v>
      </c>
      <c r="N189">
        <v>90</v>
      </c>
      <c r="O189">
        <v>2</v>
      </c>
      <c r="P189">
        <v>2</v>
      </c>
      <c r="Q189" t="s">
        <v>60</v>
      </c>
      <c r="R189">
        <v>2</v>
      </c>
      <c r="S189" t="s">
        <v>42</v>
      </c>
      <c r="T189">
        <v>10966</v>
      </c>
      <c r="U189">
        <v>24419</v>
      </c>
      <c r="V189">
        <v>2</v>
      </c>
      <c r="W189" t="s">
        <v>35</v>
      </c>
      <c r="X189">
        <v>19</v>
      </c>
      <c r="Y189">
        <v>3</v>
      </c>
      <c r="Z189">
        <v>4</v>
      </c>
      <c r="AA189">
        <v>2</v>
      </c>
      <c r="AB189">
        <v>36</v>
      </c>
      <c r="AC189">
        <v>6</v>
      </c>
      <c r="AD189">
        <v>3</v>
      </c>
      <c r="AE189">
        <v>5</v>
      </c>
      <c r="AF189">
        <v>4</v>
      </c>
      <c r="AG189">
        <v>0</v>
      </c>
      <c r="AH189">
        <v>0</v>
      </c>
    </row>
    <row r="190" spans="1:34" x14ac:dyDescent="0.35">
      <c r="A190" t="s">
        <v>250</v>
      </c>
      <c r="B190">
        <v>18</v>
      </c>
      <c r="C190" t="str">
        <f t="shared" si="2"/>
        <v>under 25</v>
      </c>
      <c r="D190" t="s">
        <v>35</v>
      </c>
      <c r="E190" t="s">
        <v>36</v>
      </c>
      <c r="F190" t="s">
        <v>37</v>
      </c>
      <c r="G190">
        <v>901</v>
      </c>
      <c r="H190" t="s">
        <v>46</v>
      </c>
      <c r="I190">
        <v>3</v>
      </c>
      <c r="J190">
        <v>3</v>
      </c>
      <c r="K190" t="s">
        <v>64</v>
      </c>
      <c r="L190">
        <v>3</v>
      </c>
      <c r="M190" t="s">
        <v>51</v>
      </c>
      <c r="N190">
        <v>72</v>
      </c>
      <c r="O190">
        <v>3</v>
      </c>
      <c r="P190">
        <v>1</v>
      </c>
      <c r="Q190" t="s">
        <v>65</v>
      </c>
      <c r="R190">
        <v>3</v>
      </c>
      <c r="S190" t="s">
        <v>49</v>
      </c>
      <c r="T190">
        <v>3658</v>
      </c>
      <c r="U190">
        <v>15897</v>
      </c>
      <c r="V190">
        <v>1</v>
      </c>
      <c r="W190" t="s">
        <v>35</v>
      </c>
      <c r="X190">
        <v>21</v>
      </c>
      <c r="Y190">
        <v>3</v>
      </c>
      <c r="Z190">
        <v>4</v>
      </c>
      <c r="AA190">
        <v>3</v>
      </c>
      <c r="AB190">
        <v>0</v>
      </c>
      <c r="AC190">
        <v>2</v>
      </c>
      <c r="AD190">
        <v>2</v>
      </c>
      <c r="AE190">
        <v>0</v>
      </c>
      <c r="AF190">
        <v>0</v>
      </c>
      <c r="AG190">
        <v>0</v>
      </c>
      <c r="AH190">
        <v>0</v>
      </c>
    </row>
    <row r="191" spans="1:34" x14ac:dyDescent="0.35">
      <c r="A191" t="s">
        <v>251</v>
      </c>
      <c r="B191">
        <v>27</v>
      </c>
      <c r="C191" t="str">
        <f t="shared" si="2"/>
        <v>25-34</v>
      </c>
      <c r="D191" t="s">
        <v>35</v>
      </c>
      <c r="E191" t="s">
        <v>36</v>
      </c>
      <c r="F191" t="s">
        <v>37</v>
      </c>
      <c r="G191">
        <v>1276</v>
      </c>
      <c r="H191" t="s">
        <v>46</v>
      </c>
      <c r="I191">
        <v>1</v>
      </c>
      <c r="J191">
        <v>2</v>
      </c>
      <c r="K191" t="s">
        <v>47</v>
      </c>
      <c r="L191">
        <v>3</v>
      </c>
      <c r="M191" t="s">
        <v>51</v>
      </c>
      <c r="N191">
        <v>55</v>
      </c>
      <c r="O191">
        <v>3</v>
      </c>
      <c r="P191">
        <v>2</v>
      </c>
      <c r="Q191" t="s">
        <v>48</v>
      </c>
      <c r="R191">
        <v>1</v>
      </c>
      <c r="S191" t="s">
        <v>56</v>
      </c>
      <c r="T191">
        <v>7057</v>
      </c>
      <c r="U191">
        <v>6663</v>
      </c>
      <c r="V191">
        <v>1</v>
      </c>
      <c r="W191" t="s">
        <v>43</v>
      </c>
      <c r="X191">
        <v>11</v>
      </c>
      <c r="Y191">
        <v>3</v>
      </c>
      <c r="Z191">
        <v>3</v>
      </c>
      <c r="AA191">
        <v>2</v>
      </c>
      <c r="AB191">
        <v>5</v>
      </c>
      <c r="AC191">
        <v>2</v>
      </c>
      <c r="AD191">
        <v>4</v>
      </c>
      <c r="AE191">
        <v>5</v>
      </c>
      <c r="AF191">
        <v>0</v>
      </c>
      <c r="AG191">
        <v>1</v>
      </c>
      <c r="AH191">
        <v>1</v>
      </c>
    </row>
    <row r="192" spans="1:34" x14ac:dyDescent="0.35">
      <c r="A192" t="s">
        <v>252</v>
      </c>
      <c r="B192">
        <v>25</v>
      </c>
      <c r="C192" t="str">
        <f t="shared" si="2"/>
        <v>under 25</v>
      </c>
      <c r="D192" t="s">
        <v>35</v>
      </c>
      <c r="E192" t="s">
        <v>36</v>
      </c>
      <c r="F192" t="s">
        <v>37</v>
      </c>
      <c r="G192">
        <v>119</v>
      </c>
      <c r="H192" t="s">
        <v>38</v>
      </c>
      <c r="I192">
        <v>1</v>
      </c>
      <c r="J192">
        <v>1</v>
      </c>
      <c r="K192" t="s">
        <v>47</v>
      </c>
      <c r="L192">
        <v>3</v>
      </c>
      <c r="M192" t="s">
        <v>40</v>
      </c>
      <c r="N192">
        <v>43</v>
      </c>
      <c r="O192">
        <v>3</v>
      </c>
      <c r="P192">
        <v>1</v>
      </c>
      <c r="Q192" t="s">
        <v>62</v>
      </c>
      <c r="R192">
        <v>3</v>
      </c>
      <c r="S192" t="s">
        <v>49</v>
      </c>
      <c r="T192">
        <v>1171</v>
      </c>
      <c r="U192">
        <v>4465</v>
      </c>
      <c r="V192">
        <v>2</v>
      </c>
      <c r="W192" t="s">
        <v>35</v>
      </c>
      <c r="X192">
        <v>20</v>
      </c>
      <c r="Y192">
        <v>3</v>
      </c>
      <c r="Z192">
        <v>3</v>
      </c>
      <c r="AA192">
        <v>1</v>
      </c>
      <c r="AB192">
        <v>2</v>
      </c>
      <c r="AC192">
        <v>1</v>
      </c>
      <c r="AD192">
        <v>3</v>
      </c>
      <c r="AE192">
        <v>2</v>
      </c>
      <c r="AF192">
        <v>2</v>
      </c>
      <c r="AG192">
        <v>0</v>
      </c>
      <c r="AH192">
        <v>2</v>
      </c>
    </row>
    <row r="193" spans="1:34" x14ac:dyDescent="0.35">
      <c r="A193" t="s">
        <v>253</v>
      </c>
      <c r="B193">
        <v>32</v>
      </c>
      <c r="C193" t="str">
        <f t="shared" si="2"/>
        <v>25-34</v>
      </c>
      <c r="D193" t="s">
        <v>35</v>
      </c>
      <c r="E193" t="s">
        <v>36</v>
      </c>
      <c r="F193" t="s">
        <v>37</v>
      </c>
      <c r="G193">
        <v>480</v>
      </c>
      <c r="H193" t="s">
        <v>38</v>
      </c>
      <c r="I193">
        <v>8</v>
      </c>
      <c r="J193">
        <v>4</v>
      </c>
      <c r="K193" t="s">
        <v>47</v>
      </c>
      <c r="L193">
        <v>3</v>
      </c>
      <c r="M193" t="s">
        <v>51</v>
      </c>
      <c r="N193">
        <v>33</v>
      </c>
      <c r="O193">
        <v>3</v>
      </c>
      <c r="P193">
        <v>2</v>
      </c>
      <c r="Q193" t="s">
        <v>55</v>
      </c>
      <c r="R193">
        <v>1</v>
      </c>
      <c r="S193" t="s">
        <v>42</v>
      </c>
      <c r="T193">
        <v>6861</v>
      </c>
      <c r="U193">
        <v>18460</v>
      </c>
      <c r="V193">
        <v>3</v>
      </c>
      <c r="W193" t="s">
        <v>35</v>
      </c>
      <c r="X193">
        <v>18</v>
      </c>
      <c r="Y193">
        <v>3</v>
      </c>
      <c r="Z193">
        <v>3</v>
      </c>
      <c r="AA193">
        <v>1</v>
      </c>
      <c r="AB193">
        <v>12</v>
      </c>
      <c r="AC193">
        <v>3</v>
      </c>
      <c r="AD193">
        <v>3</v>
      </c>
      <c r="AE193">
        <v>2</v>
      </c>
      <c r="AF193">
        <v>2</v>
      </c>
      <c r="AG193">
        <v>2</v>
      </c>
      <c r="AH193">
        <v>2</v>
      </c>
    </row>
    <row r="194" spans="1:34" x14ac:dyDescent="0.35">
      <c r="A194" t="s">
        <v>254</v>
      </c>
      <c r="B194">
        <v>50</v>
      </c>
      <c r="C194" t="str">
        <f t="shared" si="2"/>
        <v>45-54</v>
      </c>
      <c r="D194" t="s">
        <v>35</v>
      </c>
      <c r="E194" t="s">
        <v>36</v>
      </c>
      <c r="F194" t="s">
        <v>54</v>
      </c>
      <c r="G194">
        <v>1378</v>
      </c>
      <c r="H194" t="s">
        <v>38</v>
      </c>
      <c r="I194">
        <v>11</v>
      </c>
      <c r="J194">
        <v>1</v>
      </c>
      <c r="K194" t="s">
        <v>39</v>
      </c>
      <c r="L194">
        <v>3</v>
      </c>
      <c r="M194" t="s">
        <v>40</v>
      </c>
      <c r="N194">
        <v>52</v>
      </c>
      <c r="O194">
        <v>2</v>
      </c>
      <c r="P194">
        <v>1</v>
      </c>
      <c r="Q194" t="s">
        <v>55</v>
      </c>
      <c r="R194">
        <v>3</v>
      </c>
      <c r="S194" t="s">
        <v>42</v>
      </c>
      <c r="T194">
        <v>6580</v>
      </c>
      <c r="U194">
        <v>11933</v>
      </c>
      <c r="V194">
        <v>5</v>
      </c>
      <c r="W194" t="s">
        <v>35</v>
      </c>
      <c r="X194">
        <v>16</v>
      </c>
      <c r="Y194">
        <v>3</v>
      </c>
      <c r="Z194">
        <v>4</v>
      </c>
      <c r="AA194">
        <v>2</v>
      </c>
      <c r="AB194">
        <v>28</v>
      </c>
      <c r="AC194">
        <v>2</v>
      </c>
      <c r="AD194">
        <v>2</v>
      </c>
      <c r="AE194">
        <v>3</v>
      </c>
      <c r="AF194">
        <v>1</v>
      </c>
      <c r="AG194">
        <v>0</v>
      </c>
      <c r="AH194">
        <v>3</v>
      </c>
    </row>
    <row r="195" spans="1:34" x14ac:dyDescent="0.35">
      <c r="A195" t="s">
        <v>255</v>
      </c>
      <c r="B195">
        <v>53</v>
      </c>
      <c r="C195" t="str">
        <f t="shared" ref="C195:C258" si="3">IF(B195&lt;=25,"under 25",IF(B195&lt;=34,"25-34",IF(B195&lt;=44,"35-44",IF(B195&lt;=54,"45-54","55+"))))</f>
        <v>45-54</v>
      </c>
      <c r="D195" t="s">
        <v>35</v>
      </c>
      <c r="E195" t="s">
        <v>36</v>
      </c>
      <c r="F195" t="s">
        <v>37</v>
      </c>
      <c r="G195">
        <v>109</v>
      </c>
      <c r="H195" t="s">
        <v>46</v>
      </c>
      <c r="I195">
        <v>1</v>
      </c>
      <c r="J195">
        <v>4</v>
      </c>
      <c r="K195" t="s">
        <v>47</v>
      </c>
      <c r="L195">
        <v>4</v>
      </c>
      <c r="M195" t="s">
        <v>40</v>
      </c>
      <c r="N195">
        <v>78</v>
      </c>
      <c r="O195">
        <v>3</v>
      </c>
      <c r="P195">
        <v>3</v>
      </c>
      <c r="Q195" t="s">
        <v>48</v>
      </c>
      <c r="R195">
        <v>4</v>
      </c>
      <c r="S195" t="s">
        <v>49</v>
      </c>
      <c r="T195">
        <v>9398</v>
      </c>
      <c r="U195">
        <v>7606</v>
      </c>
      <c r="V195">
        <v>2</v>
      </c>
      <c r="W195" t="s">
        <v>43</v>
      </c>
      <c r="X195">
        <v>11</v>
      </c>
      <c r="Y195">
        <v>3</v>
      </c>
      <c r="Z195">
        <v>2</v>
      </c>
      <c r="AA195">
        <v>1</v>
      </c>
      <c r="AB195">
        <v>31</v>
      </c>
      <c r="AC195">
        <v>0</v>
      </c>
      <c r="AD195">
        <v>3</v>
      </c>
      <c r="AE195">
        <v>9</v>
      </c>
      <c r="AF195">
        <v>1</v>
      </c>
      <c r="AG195">
        <v>3</v>
      </c>
      <c r="AH195">
        <v>4</v>
      </c>
    </row>
    <row r="196" spans="1:34" x14ac:dyDescent="0.35">
      <c r="A196" t="s">
        <v>256</v>
      </c>
      <c r="B196">
        <v>31</v>
      </c>
      <c r="C196" t="str">
        <f t="shared" si="3"/>
        <v>25-34</v>
      </c>
      <c r="D196" t="s">
        <v>35</v>
      </c>
      <c r="E196" t="s">
        <v>36</v>
      </c>
      <c r="F196" t="s">
        <v>54</v>
      </c>
      <c r="G196">
        <v>1479</v>
      </c>
      <c r="H196" t="s">
        <v>46</v>
      </c>
      <c r="I196">
        <v>1</v>
      </c>
      <c r="J196">
        <v>2</v>
      </c>
      <c r="K196" t="s">
        <v>103</v>
      </c>
      <c r="L196">
        <v>3</v>
      </c>
      <c r="M196" t="s">
        <v>40</v>
      </c>
      <c r="N196">
        <v>49</v>
      </c>
      <c r="O196">
        <v>2</v>
      </c>
      <c r="P196">
        <v>2</v>
      </c>
      <c r="Q196" t="s">
        <v>48</v>
      </c>
      <c r="R196">
        <v>4</v>
      </c>
      <c r="S196" t="s">
        <v>49</v>
      </c>
      <c r="T196">
        <v>5599</v>
      </c>
      <c r="U196">
        <v>12237</v>
      </c>
      <c r="V196">
        <v>4</v>
      </c>
      <c r="W196" t="s">
        <v>35</v>
      </c>
      <c r="X196">
        <v>13</v>
      </c>
      <c r="Y196">
        <v>3</v>
      </c>
      <c r="Z196">
        <v>3</v>
      </c>
      <c r="AA196">
        <v>1</v>
      </c>
      <c r="AB196">
        <v>10</v>
      </c>
      <c r="AC196">
        <v>3</v>
      </c>
      <c r="AD196">
        <v>3</v>
      </c>
      <c r="AE196">
        <v>2</v>
      </c>
      <c r="AF196">
        <v>2</v>
      </c>
      <c r="AG196">
        <v>1</v>
      </c>
      <c r="AH196">
        <v>2</v>
      </c>
    </row>
    <row r="197" spans="1:34" x14ac:dyDescent="0.35">
      <c r="A197" t="s">
        <v>257</v>
      </c>
      <c r="B197">
        <v>36</v>
      </c>
      <c r="C197" t="str">
        <f t="shared" si="3"/>
        <v>35-44</v>
      </c>
      <c r="D197" t="s">
        <v>35</v>
      </c>
      <c r="E197" t="s">
        <v>36</v>
      </c>
      <c r="F197" t="s">
        <v>59</v>
      </c>
      <c r="G197">
        <v>1406</v>
      </c>
      <c r="H197" t="s">
        <v>38</v>
      </c>
      <c r="I197">
        <v>5</v>
      </c>
      <c r="J197">
        <v>3</v>
      </c>
      <c r="K197" t="s">
        <v>69</v>
      </c>
      <c r="L197">
        <v>4</v>
      </c>
      <c r="M197" t="s">
        <v>51</v>
      </c>
      <c r="N197">
        <v>52</v>
      </c>
      <c r="O197">
        <v>3</v>
      </c>
      <c r="P197">
        <v>1</v>
      </c>
      <c r="Q197" t="s">
        <v>52</v>
      </c>
      <c r="R197">
        <v>3</v>
      </c>
      <c r="S197" t="s">
        <v>49</v>
      </c>
      <c r="T197">
        <v>4842</v>
      </c>
      <c r="U197">
        <v>16915</v>
      </c>
      <c r="V197">
        <v>5</v>
      </c>
      <c r="W197" t="s">
        <v>35</v>
      </c>
      <c r="X197">
        <v>13</v>
      </c>
      <c r="Y197">
        <v>4</v>
      </c>
      <c r="Z197">
        <v>1</v>
      </c>
      <c r="AA197">
        <v>3</v>
      </c>
      <c r="AB197">
        <v>11</v>
      </c>
      <c r="AC197">
        <v>2</v>
      </c>
      <c r="AD197">
        <v>2</v>
      </c>
      <c r="AE197">
        <v>0</v>
      </c>
      <c r="AF197">
        <v>0</v>
      </c>
      <c r="AG197">
        <v>0</v>
      </c>
      <c r="AH197">
        <v>0</v>
      </c>
    </row>
    <row r="198" spans="1:34" x14ac:dyDescent="0.35">
      <c r="A198" t="s">
        <v>258</v>
      </c>
      <c r="B198">
        <v>20</v>
      </c>
      <c r="C198" t="str">
        <f t="shared" si="3"/>
        <v>under 25</v>
      </c>
      <c r="D198" t="s">
        <v>43</v>
      </c>
      <c r="E198" t="s">
        <v>45</v>
      </c>
      <c r="F198" t="s">
        <v>37</v>
      </c>
      <c r="G198">
        <v>204</v>
      </c>
      <c r="H198" t="s">
        <v>46</v>
      </c>
      <c r="I198">
        <v>4</v>
      </c>
      <c r="J198">
        <v>4</v>
      </c>
      <c r="K198" t="s">
        <v>64</v>
      </c>
      <c r="L198">
        <v>4</v>
      </c>
      <c r="M198" t="s">
        <v>40</v>
      </c>
      <c r="N198">
        <v>39</v>
      </c>
      <c r="O198">
        <v>3</v>
      </c>
      <c r="P198">
        <v>2</v>
      </c>
      <c r="Q198" t="s">
        <v>80</v>
      </c>
      <c r="R198">
        <v>4</v>
      </c>
      <c r="S198" t="s">
        <v>56</v>
      </c>
      <c r="T198">
        <v>5467</v>
      </c>
      <c r="U198">
        <v>9689</v>
      </c>
      <c r="V198">
        <v>3</v>
      </c>
      <c r="W198" t="s">
        <v>35</v>
      </c>
      <c r="X198">
        <v>11</v>
      </c>
      <c r="Y198">
        <v>3</v>
      </c>
      <c r="Z198">
        <v>1</v>
      </c>
      <c r="AA198">
        <v>2</v>
      </c>
      <c r="AB198">
        <v>0</v>
      </c>
      <c r="AC198">
        <v>4</v>
      </c>
      <c r="AD198">
        <v>3</v>
      </c>
      <c r="AE198">
        <v>0</v>
      </c>
      <c r="AF198">
        <v>0</v>
      </c>
      <c r="AG198">
        <v>0</v>
      </c>
      <c r="AH198">
        <v>0</v>
      </c>
    </row>
    <row r="199" spans="1:34" x14ac:dyDescent="0.35">
      <c r="A199" t="s">
        <v>259</v>
      </c>
      <c r="B199">
        <v>37</v>
      </c>
      <c r="C199" t="str">
        <f t="shared" si="3"/>
        <v>35-44</v>
      </c>
      <c r="D199" t="s">
        <v>35</v>
      </c>
      <c r="E199" t="s">
        <v>36</v>
      </c>
      <c r="F199" t="s">
        <v>37</v>
      </c>
      <c r="G199">
        <v>1286</v>
      </c>
      <c r="H199" t="s">
        <v>38</v>
      </c>
      <c r="I199">
        <v>19</v>
      </c>
      <c r="J199">
        <v>4</v>
      </c>
      <c r="K199" t="s">
        <v>69</v>
      </c>
      <c r="L199">
        <v>4</v>
      </c>
      <c r="M199" t="s">
        <v>40</v>
      </c>
      <c r="N199">
        <v>44</v>
      </c>
      <c r="O199">
        <v>3</v>
      </c>
      <c r="P199">
        <v>1</v>
      </c>
      <c r="Q199" t="s">
        <v>62</v>
      </c>
      <c r="R199">
        <v>2</v>
      </c>
      <c r="S199" t="s">
        <v>49</v>
      </c>
      <c r="T199">
        <v>4611</v>
      </c>
      <c r="U199">
        <v>17455</v>
      </c>
      <c r="V199">
        <v>5</v>
      </c>
      <c r="W199" t="s">
        <v>35</v>
      </c>
      <c r="X199">
        <v>15</v>
      </c>
      <c r="Y199">
        <v>4</v>
      </c>
      <c r="Z199">
        <v>4</v>
      </c>
      <c r="AA199">
        <v>0</v>
      </c>
      <c r="AB199">
        <v>14</v>
      </c>
      <c r="AC199">
        <v>3</v>
      </c>
      <c r="AD199">
        <v>3</v>
      </c>
      <c r="AE199">
        <v>4</v>
      </c>
      <c r="AF199">
        <v>2</v>
      </c>
      <c r="AG199">
        <v>2</v>
      </c>
      <c r="AH199">
        <v>0</v>
      </c>
    </row>
    <row r="200" spans="1:34" x14ac:dyDescent="0.35">
      <c r="A200" t="s">
        <v>260</v>
      </c>
      <c r="B200">
        <v>50</v>
      </c>
      <c r="C200" t="str">
        <f t="shared" si="3"/>
        <v>45-54</v>
      </c>
      <c r="D200" t="s">
        <v>35</v>
      </c>
      <c r="E200" t="s">
        <v>36</v>
      </c>
      <c r="F200" t="s">
        <v>54</v>
      </c>
      <c r="G200">
        <v>1024</v>
      </c>
      <c r="H200" t="s">
        <v>38</v>
      </c>
      <c r="I200">
        <v>2</v>
      </c>
      <c r="J200">
        <v>3</v>
      </c>
      <c r="K200" t="s">
        <v>69</v>
      </c>
      <c r="L200">
        <v>3</v>
      </c>
      <c r="M200" t="s">
        <v>51</v>
      </c>
      <c r="N200">
        <v>46</v>
      </c>
      <c r="O200">
        <v>2</v>
      </c>
      <c r="P200">
        <v>2</v>
      </c>
      <c r="Q200" t="s">
        <v>60</v>
      </c>
      <c r="R200">
        <v>3</v>
      </c>
      <c r="S200" t="s">
        <v>42</v>
      </c>
      <c r="T200">
        <v>7720</v>
      </c>
      <c r="U200">
        <v>11795</v>
      </c>
      <c r="V200">
        <v>2</v>
      </c>
      <c r="W200" t="s">
        <v>35</v>
      </c>
      <c r="X200">
        <v>17</v>
      </c>
      <c r="Y200">
        <v>3</v>
      </c>
      <c r="Z200">
        <v>3</v>
      </c>
      <c r="AA200">
        <v>0</v>
      </c>
      <c r="AB200">
        <v>29</v>
      </c>
      <c r="AC200">
        <v>5</v>
      </c>
      <c r="AD200">
        <v>3</v>
      </c>
      <c r="AE200">
        <v>1</v>
      </c>
      <c r="AF200">
        <v>1</v>
      </c>
      <c r="AG200">
        <v>1</v>
      </c>
      <c r="AH200">
        <v>1</v>
      </c>
    </row>
    <row r="201" spans="1:34" x14ac:dyDescent="0.35">
      <c r="A201" t="s">
        <v>261</v>
      </c>
      <c r="B201">
        <v>28</v>
      </c>
      <c r="C201" t="str">
        <f t="shared" si="3"/>
        <v>25-34</v>
      </c>
      <c r="D201" t="s">
        <v>35</v>
      </c>
      <c r="E201" t="s">
        <v>36</v>
      </c>
      <c r="F201" t="s">
        <v>59</v>
      </c>
      <c r="G201">
        <v>302</v>
      </c>
      <c r="H201" t="s">
        <v>46</v>
      </c>
      <c r="I201">
        <v>2</v>
      </c>
      <c r="J201">
        <v>2</v>
      </c>
      <c r="K201" t="s">
        <v>69</v>
      </c>
      <c r="L201">
        <v>4</v>
      </c>
      <c r="M201" t="s">
        <v>40</v>
      </c>
      <c r="N201">
        <v>98</v>
      </c>
      <c r="O201">
        <v>2</v>
      </c>
      <c r="P201">
        <v>1</v>
      </c>
      <c r="Q201" t="s">
        <v>48</v>
      </c>
      <c r="R201">
        <v>3</v>
      </c>
      <c r="S201" t="s">
        <v>42</v>
      </c>
      <c r="T201">
        <v>4573</v>
      </c>
      <c r="U201">
        <v>17160</v>
      </c>
      <c r="V201">
        <v>1</v>
      </c>
      <c r="W201" t="s">
        <v>35</v>
      </c>
      <c r="X201">
        <v>11</v>
      </c>
      <c r="Y201">
        <v>3</v>
      </c>
      <c r="Z201">
        <v>3</v>
      </c>
      <c r="AA201">
        <v>0</v>
      </c>
      <c r="AB201">
        <v>5</v>
      </c>
      <c r="AC201">
        <v>0</v>
      </c>
      <c r="AD201">
        <v>4</v>
      </c>
      <c r="AE201">
        <v>3</v>
      </c>
      <c r="AF201">
        <v>1</v>
      </c>
      <c r="AG201">
        <v>3</v>
      </c>
      <c r="AH201">
        <v>1</v>
      </c>
    </row>
    <row r="202" spans="1:34" x14ac:dyDescent="0.35">
      <c r="A202" t="s">
        <v>262</v>
      </c>
      <c r="B202">
        <v>36</v>
      </c>
      <c r="C202" t="str">
        <f t="shared" si="3"/>
        <v>35-44</v>
      </c>
      <c r="D202" t="s">
        <v>35</v>
      </c>
      <c r="E202" t="s">
        <v>36</v>
      </c>
      <c r="F202" t="s">
        <v>37</v>
      </c>
      <c r="G202">
        <v>1058</v>
      </c>
      <c r="H202" t="s">
        <v>38</v>
      </c>
      <c r="I202">
        <v>7</v>
      </c>
      <c r="J202">
        <v>3</v>
      </c>
      <c r="K202" t="s">
        <v>39</v>
      </c>
      <c r="L202">
        <v>1</v>
      </c>
      <c r="M202" t="s">
        <v>40</v>
      </c>
      <c r="N202">
        <v>55</v>
      </c>
      <c r="O202">
        <v>2</v>
      </c>
      <c r="P202">
        <v>3</v>
      </c>
      <c r="Q202" t="s">
        <v>60</v>
      </c>
      <c r="R202">
        <v>1</v>
      </c>
      <c r="S202" t="s">
        <v>49</v>
      </c>
      <c r="T202">
        <v>8750</v>
      </c>
      <c r="U202">
        <v>19472</v>
      </c>
      <c r="V202">
        <v>2</v>
      </c>
      <c r="W202" t="s">
        <v>43</v>
      </c>
      <c r="X202">
        <v>13</v>
      </c>
      <c r="Y202">
        <v>3</v>
      </c>
      <c r="Z202">
        <v>4</v>
      </c>
      <c r="AA202">
        <v>2</v>
      </c>
      <c r="AB202">
        <v>13</v>
      </c>
      <c r="AC202">
        <v>4</v>
      </c>
      <c r="AD202">
        <v>3</v>
      </c>
      <c r="AE202">
        <v>12</v>
      </c>
      <c r="AF202">
        <v>3</v>
      </c>
      <c r="AG202">
        <v>1</v>
      </c>
      <c r="AH202">
        <v>5</v>
      </c>
    </row>
    <row r="203" spans="1:34" x14ac:dyDescent="0.35">
      <c r="A203" t="s">
        <v>263</v>
      </c>
      <c r="B203">
        <v>19</v>
      </c>
      <c r="C203" t="str">
        <f t="shared" si="3"/>
        <v>under 25</v>
      </c>
      <c r="D203" t="s">
        <v>35</v>
      </c>
      <c r="E203" t="s">
        <v>36</v>
      </c>
      <c r="F203" t="s">
        <v>37</v>
      </c>
      <c r="G203">
        <v>1281</v>
      </c>
      <c r="H203" t="s">
        <v>46</v>
      </c>
      <c r="I203">
        <v>1</v>
      </c>
      <c r="J203">
        <v>2</v>
      </c>
      <c r="K203" t="s">
        <v>47</v>
      </c>
      <c r="L203">
        <v>3</v>
      </c>
      <c r="M203" t="s">
        <v>51</v>
      </c>
      <c r="N203">
        <v>86</v>
      </c>
      <c r="O203">
        <v>4</v>
      </c>
      <c r="P203">
        <v>1</v>
      </c>
      <c r="Q203" t="s">
        <v>48</v>
      </c>
      <c r="R203">
        <v>4</v>
      </c>
      <c r="S203" t="s">
        <v>42</v>
      </c>
      <c r="T203">
        <v>3867</v>
      </c>
      <c r="U203">
        <v>25984</v>
      </c>
      <c r="V203">
        <v>2</v>
      </c>
      <c r="W203" t="s">
        <v>35</v>
      </c>
      <c r="X203">
        <v>18</v>
      </c>
      <c r="Y203">
        <v>3</v>
      </c>
      <c r="Z203">
        <v>3</v>
      </c>
      <c r="AA203">
        <v>2</v>
      </c>
      <c r="AB203">
        <v>0</v>
      </c>
      <c r="AC203">
        <v>5</v>
      </c>
      <c r="AD203">
        <v>3</v>
      </c>
      <c r="AE203">
        <v>0</v>
      </c>
      <c r="AF203">
        <v>0</v>
      </c>
      <c r="AG203">
        <v>0</v>
      </c>
      <c r="AH203">
        <v>0</v>
      </c>
    </row>
    <row r="204" spans="1:34" x14ac:dyDescent="0.35">
      <c r="A204" t="s">
        <v>264</v>
      </c>
      <c r="B204">
        <v>32</v>
      </c>
      <c r="C204" t="str">
        <f t="shared" si="3"/>
        <v>25-34</v>
      </c>
      <c r="D204" t="s">
        <v>35</v>
      </c>
      <c r="E204" t="s">
        <v>36</v>
      </c>
      <c r="F204" t="s">
        <v>37</v>
      </c>
      <c r="G204">
        <v>700</v>
      </c>
      <c r="H204" t="s">
        <v>46</v>
      </c>
      <c r="I204">
        <v>1</v>
      </c>
      <c r="J204">
        <v>3</v>
      </c>
      <c r="K204" t="s">
        <v>103</v>
      </c>
      <c r="L204">
        <v>1</v>
      </c>
      <c r="M204" t="s">
        <v>40</v>
      </c>
      <c r="N204">
        <v>90</v>
      </c>
      <c r="O204">
        <v>4</v>
      </c>
      <c r="P204">
        <v>1</v>
      </c>
      <c r="Q204" t="s">
        <v>80</v>
      </c>
      <c r="R204">
        <v>3</v>
      </c>
      <c r="S204" t="s">
        <v>49</v>
      </c>
      <c r="T204">
        <v>4423</v>
      </c>
      <c r="U204">
        <v>18142</v>
      </c>
      <c r="V204">
        <v>3</v>
      </c>
      <c r="W204" t="s">
        <v>35</v>
      </c>
      <c r="X204">
        <v>16</v>
      </c>
      <c r="Y204">
        <v>3</v>
      </c>
      <c r="Z204">
        <v>2</v>
      </c>
      <c r="AA204">
        <v>0</v>
      </c>
      <c r="AB204">
        <v>10</v>
      </c>
      <c r="AC204">
        <v>1</v>
      </c>
      <c r="AD204">
        <v>3</v>
      </c>
      <c r="AE204">
        <v>3</v>
      </c>
      <c r="AF204">
        <v>3</v>
      </c>
      <c r="AG204">
        <v>0</v>
      </c>
      <c r="AH204">
        <v>0</v>
      </c>
    </row>
    <row r="205" spans="1:34" x14ac:dyDescent="0.35">
      <c r="A205" t="s">
        <v>265</v>
      </c>
      <c r="B205">
        <v>44</v>
      </c>
      <c r="C205" t="str">
        <f t="shared" si="3"/>
        <v>35-44</v>
      </c>
      <c r="D205" t="s">
        <v>35</v>
      </c>
      <c r="E205" t="s">
        <v>36</v>
      </c>
      <c r="F205" t="s">
        <v>37</v>
      </c>
      <c r="G205">
        <v>246</v>
      </c>
      <c r="H205" t="s">
        <v>46</v>
      </c>
      <c r="I205">
        <v>5</v>
      </c>
      <c r="J205">
        <v>4</v>
      </c>
      <c r="K205" t="s">
        <v>64</v>
      </c>
      <c r="L205">
        <v>3</v>
      </c>
      <c r="M205" t="s">
        <v>40</v>
      </c>
      <c r="N205">
        <v>74</v>
      </c>
      <c r="O205">
        <v>3</v>
      </c>
      <c r="P205">
        <v>1</v>
      </c>
      <c r="Q205" t="s">
        <v>48</v>
      </c>
      <c r="R205">
        <v>1</v>
      </c>
      <c r="S205" t="s">
        <v>56</v>
      </c>
      <c r="T205">
        <v>4474</v>
      </c>
      <c r="U205">
        <v>26217</v>
      </c>
      <c r="V205">
        <v>3</v>
      </c>
      <c r="W205" t="s">
        <v>43</v>
      </c>
      <c r="X205">
        <v>15</v>
      </c>
      <c r="Y205">
        <v>3</v>
      </c>
      <c r="Z205">
        <v>4</v>
      </c>
      <c r="AA205">
        <v>0</v>
      </c>
      <c r="AB205">
        <v>19</v>
      </c>
      <c r="AC205">
        <v>6</v>
      </c>
      <c r="AD205">
        <v>3</v>
      </c>
      <c r="AE205">
        <v>4</v>
      </c>
      <c r="AF205">
        <v>0</v>
      </c>
      <c r="AG205">
        <v>1</v>
      </c>
      <c r="AH205">
        <v>1</v>
      </c>
    </row>
    <row r="206" spans="1:34" x14ac:dyDescent="0.35">
      <c r="A206" t="s">
        <v>266</v>
      </c>
      <c r="B206">
        <v>18</v>
      </c>
      <c r="C206" t="str">
        <f t="shared" si="3"/>
        <v>under 25</v>
      </c>
      <c r="D206" t="s">
        <v>43</v>
      </c>
      <c r="E206" t="s">
        <v>45</v>
      </c>
      <c r="F206" t="s">
        <v>37</v>
      </c>
      <c r="G206">
        <v>718</v>
      </c>
      <c r="H206" t="s">
        <v>46</v>
      </c>
      <c r="I206">
        <v>29</v>
      </c>
      <c r="J206">
        <v>2</v>
      </c>
      <c r="K206" t="s">
        <v>64</v>
      </c>
      <c r="L206">
        <v>3</v>
      </c>
      <c r="M206" t="s">
        <v>40</v>
      </c>
      <c r="N206">
        <v>48</v>
      </c>
      <c r="O206">
        <v>3</v>
      </c>
      <c r="P206">
        <v>2</v>
      </c>
      <c r="Q206" t="s">
        <v>48</v>
      </c>
      <c r="R206">
        <v>3</v>
      </c>
      <c r="S206" t="s">
        <v>42</v>
      </c>
      <c r="T206">
        <v>4011</v>
      </c>
      <c r="U206">
        <v>7968</v>
      </c>
      <c r="V206">
        <v>4</v>
      </c>
      <c r="W206" t="s">
        <v>35</v>
      </c>
      <c r="X206">
        <v>16</v>
      </c>
      <c r="Y206">
        <v>3</v>
      </c>
      <c r="Z206">
        <v>2</v>
      </c>
      <c r="AA206">
        <v>2</v>
      </c>
      <c r="AB206">
        <v>0</v>
      </c>
      <c r="AC206">
        <v>2</v>
      </c>
      <c r="AD206">
        <v>2</v>
      </c>
      <c r="AE206">
        <v>0</v>
      </c>
      <c r="AF206">
        <v>0</v>
      </c>
      <c r="AG206">
        <v>0</v>
      </c>
      <c r="AH206">
        <v>0</v>
      </c>
    </row>
    <row r="207" spans="1:34" x14ac:dyDescent="0.35">
      <c r="A207" t="s">
        <v>267</v>
      </c>
      <c r="B207">
        <v>22</v>
      </c>
      <c r="C207" t="str">
        <f t="shared" si="3"/>
        <v>under 25</v>
      </c>
      <c r="D207" t="s">
        <v>43</v>
      </c>
      <c r="E207" t="s">
        <v>45</v>
      </c>
      <c r="F207" t="s">
        <v>37</v>
      </c>
      <c r="G207">
        <v>283</v>
      </c>
      <c r="H207" t="s">
        <v>38</v>
      </c>
      <c r="I207">
        <v>1</v>
      </c>
      <c r="J207">
        <v>3</v>
      </c>
      <c r="K207" t="s">
        <v>64</v>
      </c>
      <c r="L207">
        <v>4</v>
      </c>
      <c r="M207" t="s">
        <v>51</v>
      </c>
      <c r="N207">
        <v>52</v>
      </c>
      <c r="O207">
        <v>2</v>
      </c>
      <c r="P207">
        <v>1</v>
      </c>
      <c r="Q207" t="s">
        <v>60</v>
      </c>
      <c r="R207">
        <v>2</v>
      </c>
      <c r="S207" t="s">
        <v>49</v>
      </c>
      <c r="T207">
        <v>4774</v>
      </c>
      <c r="U207">
        <v>4176</v>
      </c>
      <c r="V207">
        <v>3</v>
      </c>
      <c r="W207" t="s">
        <v>35</v>
      </c>
      <c r="X207">
        <v>11</v>
      </c>
      <c r="Y207">
        <v>3</v>
      </c>
      <c r="Z207">
        <v>2</v>
      </c>
      <c r="AA207">
        <v>1</v>
      </c>
      <c r="AB207">
        <v>0</v>
      </c>
      <c r="AC207">
        <v>1</v>
      </c>
      <c r="AD207">
        <v>2</v>
      </c>
      <c r="AE207">
        <v>0</v>
      </c>
      <c r="AF207">
        <v>0</v>
      </c>
      <c r="AG207">
        <v>0</v>
      </c>
      <c r="AH207">
        <v>0</v>
      </c>
    </row>
    <row r="208" spans="1:34" x14ac:dyDescent="0.35">
      <c r="A208" t="s">
        <v>268</v>
      </c>
      <c r="B208">
        <v>48</v>
      </c>
      <c r="C208" t="str">
        <f t="shared" si="3"/>
        <v>45-54</v>
      </c>
      <c r="D208" t="s">
        <v>43</v>
      </c>
      <c r="E208" t="s">
        <v>45</v>
      </c>
      <c r="F208" t="s">
        <v>37</v>
      </c>
      <c r="G208">
        <v>990</v>
      </c>
      <c r="H208" t="s">
        <v>46</v>
      </c>
      <c r="I208">
        <v>6</v>
      </c>
      <c r="J208">
        <v>2</v>
      </c>
      <c r="K208" t="s">
        <v>103</v>
      </c>
      <c r="L208">
        <v>1</v>
      </c>
      <c r="M208" t="s">
        <v>40</v>
      </c>
      <c r="N208">
        <v>43</v>
      </c>
      <c r="O208">
        <v>3</v>
      </c>
      <c r="P208">
        <v>1</v>
      </c>
      <c r="Q208" t="s">
        <v>48</v>
      </c>
      <c r="R208">
        <v>4</v>
      </c>
      <c r="S208" t="s">
        <v>42</v>
      </c>
      <c r="T208">
        <v>4040</v>
      </c>
      <c r="U208">
        <v>16379</v>
      </c>
      <c r="V208">
        <v>3</v>
      </c>
      <c r="W208" t="s">
        <v>35</v>
      </c>
      <c r="X208">
        <v>13</v>
      </c>
      <c r="Y208">
        <v>3</v>
      </c>
      <c r="Z208">
        <v>3</v>
      </c>
      <c r="AA208">
        <v>0</v>
      </c>
      <c r="AB208">
        <v>24</v>
      </c>
      <c r="AC208">
        <v>4</v>
      </c>
      <c r="AD208">
        <v>3</v>
      </c>
      <c r="AE208">
        <v>3</v>
      </c>
      <c r="AF208">
        <v>0</v>
      </c>
      <c r="AG208">
        <v>1</v>
      </c>
      <c r="AH208">
        <v>3</v>
      </c>
    </row>
    <row r="209" spans="1:34" x14ac:dyDescent="0.35">
      <c r="A209" t="s">
        <v>269</v>
      </c>
      <c r="B209">
        <v>28</v>
      </c>
      <c r="C209" t="str">
        <f t="shared" si="3"/>
        <v>25-34</v>
      </c>
      <c r="D209" t="s">
        <v>35</v>
      </c>
      <c r="E209" t="s">
        <v>36</v>
      </c>
      <c r="F209" t="s">
        <v>37</v>
      </c>
      <c r="G209">
        <v>231</v>
      </c>
      <c r="H209" t="s">
        <v>38</v>
      </c>
      <c r="I209">
        <v>4</v>
      </c>
      <c r="J209">
        <v>3</v>
      </c>
      <c r="K209" t="s">
        <v>39</v>
      </c>
      <c r="L209">
        <v>3</v>
      </c>
      <c r="M209" t="s">
        <v>40</v>
      </c>
      <c r="N209">
        <v>63</v>
      </c>
      <c r="O209">
        <v>1</v>
      </c>
      <c r="P209">
        <v>2</v>
      </c>
      <c r="Q209" t="s">
        <v>62</v>
      </c>
      <c r="R209">
        <v>4</v>
      </c>
      <c r="S209" t="s">
        <v>49</v>
      </c>
      <c r="T209">
        <v>6656</v>
      </c>
      <c r="U209">
        <v>21396</v>
      </c>
      <c r="V209">
        <v>3</v>
      </c>
      <c r="W209" t="s">
        <v>43</v>
      </c>
      <c r="X209">
        <v>11</v>
      </c>
      <c r="Y209">
        <v>3</v>
      </c>
      <c r="Z209">
        <v>4</v>
      </c>
      <c r="AA209">
        <v>0</v>
      </c>
      <c r="AB209">
        <v>5</v>
      </c>
      <c r="AC209">
        <v>3</v>
      </c>
      <c r="AD209">
        <v>4</v>
      </c>
      <c r="AE209">
        <v>5</v>
      </c>
      <c r="AF209">
        <v>2</v>
      </c>
      <c r="AG209">
        <v>3</v>
      </c>
      <c r="AH209">
        <v>0</v>
      </c>
    </row>
    <row r="210" spans="1:34" x14ac:dyDescent="0.35">
      <c r="A210" t="s">
        <v>270</v>
      </c>
      <c r="B210">
        <v>43</v>
      </c>
      <c r="C210" t="str">
        <f t="shared" si="3"/>
        <v>35-44</v>
      </c>
      <c r="D210" t="s">
        <v>35</v>
      </c>
      <c r="E210" t="s">
        <v>36</v>
      </c>
      <c r="F210" t="s">
        <v>37</v>
      </c>
      <c r="G210">
        <v>515</v>
      </c>
      <c r="H210" t="s">
        <v>38</v>
      </c>
      <c r="I210">
        <v>10</v>
      </c>
      <c r="J210">
        <v>3</v>
      </c>
      <c r="K210" t="s">
        <v>69</v>
      </c>
      <c r="L210">
        <v>1</v>
      </c>
      <c r="M210" t="s">
        <v>40</v>
      </c>
      <c r="N210">
        <v>93</v>
      </c>
      <c r="O210">
        <v>1</v>
      </c>
      <c r="P210">
        <v>1</v>
      </c>
      <c r="Q210" t="s">
        <v>55</v>
      </c>
      <c r="R210">
        <v>3</v>
      </c>
      <c r="S210" t="s">
        <v>49</v>
      </c>
      <c r="T210">
        <v>5605</v>
      </c>
      <c r="U210">
        <v>6180</v>
      </c>
      <c r="V210">
        <v>2</v>
      </c>
      <c r="W210" t="s">
        <v>35</v>
      </c>
      <c r="X210">
        <v>11</v>
      </c>
      <c r="Y210">
        <v>3</v>
      </c>
      <c r="Z210">
        <v>4</v>
      </c>
      <c r="AA210">
        <v>2</v>
      </c>
      <c r="AB210">
        <v>19</v>
      </c>
      <c r="AC210">
        <v>2</v>
      </c>
      <c r="AD210">
        <v>2</v>
      </c>
      <c r="AE210">
        <v>2</v>
      </c>
      <c r="AF210">
        <v>2</v>
      </c>
      <c r="AG210">
        <v>1</v>
      </c>
      <c r="AH210">
        <v>2</v>
      </c>
    </row>
    <row r="211" spans="1:34" x14ac:dyDescent="0.35">
      <c r="A211" t="s">
        <v>271</v>
      </c>
      <c r="B211">
        <v>35</v>
      </c>
      <c r="C211" t="str">
        <f t="shared" si="3"/>
        <v>35-44</v>
      </c>
      <c r="D211" t="s">
        <v>43</v>
      </c>
      <c r="E211" t="s">
        <v>45</v>
      </c>
      <c r="F211" t="s">
        <v>37</v>
      </c>
      <c r="G211">
        <v>1079</v>
      </c>
      <c r="H211" t="s">
        <v>38</v>
      </c>
      <c r="I211">
        <v>1</v>
      </c>
      <c r="J211">
        <v>3</v>
      </c>
      <c r="K211" t="s">
        <v>39</v>
      </c>
      <c r="L211">
        <v>3</v>
      </c>
      <c r="M211" t="s">
        <v>51</v>
      </c>
      <c r="N211">
        <v>85</v>
      </c>
      <c r="O211">
        <v>3</v>
      </c>
      <c r="P211">
        <v>1</v>
      </c>
      <c r="Q211" t="s">
        <v>62</v>
      </c>
      <c r="R211">
        <v>4</v>
      </c>
      <c r="S211" t="s">
        <v>49</v>
      </c>
      <c r="T211">
        <v>5032</v>
      </c>
      <c r="U211">
        <v>2544</v>
      </c>
      <c r="V211">
        <v>2</v>
      </c>
      <c r="W211" t="s">
        <v>35</v>
      </c>
      <c r="X211">
        <v>13</v>
      </c>
      <c r="Y211">
        <v>3</v>
      </c>
      <c r="Z211">
        <v>4</v>
      </c>
      <c r="AA211">
        <v>1</v>
      </c>
      <c r="AB211">
        <v>14</v>
      </c>
      <c r="AC211">
        <v>0</v>
      </c>
      <c r="AD211">
        <v>3</v>
      </c>
      <c r="AE211">
        <v>4</v>
      </c>
      <c r="AF211">
        <v>2</v>
      </c>
      <c r="AG211">
        <v>3</v>
      </c>
      <c r="AH211">
        <v>3</v>
      </c>
    </row>
    <row r="212" spans="1:34" x14ac:dyDescent="0.35">
      <c r="A212" t="s">
        <v>272</v>
      </c>
      <c r="B212">
        <v>29</v>
      </c>
      <c r="C212" t="str">
        <f t="shared" si="3"/>
        <v>25-34</v>
      </c>
      <c r="D212" t="s">
        <v>35</v>
      </c>
      <c r="E212" t="s">
        <v>36</v>
      </c>
      <c r="F212" t="s">
        <v>37</v>
      </c>
      <c r="G212">
        <v>1461</v>
      </c>
      <c r="H212" t="s">
        <v>46</v>
      </c>
      <c r="I212">
        <v>14</v>
      </c>
      <c r="J212">
        <v>2</v>
      </c>
      <c r="K212" t="s">
        <v>64</v>
      </c>
      <c r="L212">
        <v>3</v>
      </c>
      <c r="M212" t="s">
        <v>51</v>
      </c>
      <c r="N212">
        <v>79</v>
      </c>
      <c r="O212">
        <v>3</v>
      </c>
      <c r="P212">
        <v>3</v>
      </c>
      <c r="Q212" t="s">
        <v>80</v>
      </c>
      <c r="R212">
        <v>1</v>
      </c>
      <c r="S212" t="s">
        <v>49</v>
      </c>
      <c r="T212">
        <v>9194</v>
      </c>
      <c r="U212">
        <v>25412</v>
      </c>
      <c r="V212">
        <v>1</v>
      </c>
      <c r="W212" t="s">
        <v>35</v>
      </c>
      <c r="X212">
        <v>11</v>
      </c>
      <c r="Y212">
        <v>3</v>
      </c>
      <c r="Z212">
        <v>3</v>
      </c>
      <c r="AA212">
        <v>0</v>
      </c>
      <c r="AB212">
        <v>10</v>
      </c>
      <c r="AC212">
        <v>6</v>
      </c>
      <c r="AD212">
        <v>1</v>
      </c>
      <c r="AE212">
        <v>7</v>
      </c>
      <c r="AF212">
        <v>6</v>
      </c>
      <c r="AG212">
        <v>0</v>
      </c>
      <c r="AH212">
        <v>7</v>
      </c>
    </row>
    <row r="213" spans="1:34" x14ac:dyDescent="0.35">
      <c r="A213" t="s">
        <v>273</v>
      </c>
      <c r="B213">
        <v>29</v>
      </c>
      <c r="C213" t="str">
        <f t="shared" si="3"/>
        <v>25-34</v>
      </c>
      <c r="D213" t="s">
        <v>35</v>
      </c>
      <c r="E213" t="s">
        <v>36</v>
      </c>
      <c r="F213" t="s">
        <v>37</v>
      </c>
      <c r="G213">
        <v>1352</v>
      </c>
      <c r="H213" t="s">
        <v>38</v>
      </c>
      <c r="I213">
        <v>1</v>
      </c>
      <c r="J213">
        <v>3</v>
      </c>
      <c r="K213" t="s">
        <v>47</v>
      </c>
      <c r="L213">
        <v>4</v>
      </c>
      <c r="M213" t="s">
        <v>51</v>
      </c>
      <c r="N213">
        <v>90</v>
      </c>
      <c r="O213">
        <v>3</v>
      </c>
      <c r="P213">
        <v>2</v>
      </c>
      <c r="Q213" t="s">
        <v>55</v>
      </c>
      <c r="R213">
        <v>1</v>
      </c>
      <c r="S213" t="s">
        <v>49</v>
      </c>
      <c r="T213">
        <v>6334</v>
      </c>
      <c r="U213">
        <v>15055</v>
      </c>
      <c r="V213">
        <v>4</v>
      </c>
      <c r="W213" t="s">
        <v>35</v>
      </c>
      <c r="X213">
        <v>13</v>
      </c>
      <c r="Y213">
        <v>3</v>
      </c>
      <c r="Z213">
        <v>4</v>
      </c>
      <c r="AA213">
        <v>1</v>
      </c>
      <c r="AB213">
        <v>9</v>
      </c>
      <c r="AC213">
        <v>1</v>
      </c>
      <c r="AD213">
        <v>3</v>
      </c>
      <c r="AE213">
        <v>5</v>
      </c>
      <c r="AF213">
        <v>0</v>
      </c>
      <c r="AG213">
        <v>1</v>
      </c>
      <c r="AH213">
        <v>5</v>
      </c>
    </row>
    <row r="214" spans="1:34" x14ac:dyDescent="0.35">
      <c r="A214" t="s">
        <v>274</v>
      </c>
      <c r="B214">
        <v>38</v>
      </c>
      <c r="C214" t="str">
        <f t="shared" si="3"/>
        <v>35-44</v>
      </c>
      <c r="D214" t="s">
        <v>35</v>
      </c>
      <c r="E214" t="s">
        <v>36</v>
      </c>
      <c r="F214" t="s">
        <v>37</v>
      </c>
      <c r="G214">
        <v>514</v>
      </c>
      <c r="H214" t="s">
        <v>46</v>
      </c>
      <c r="I214">
        <v>8</v>
      </c>
      <c r="J214">
        <v>3</v>
      </c>
      <c r="K214" t="s">
        <v>103</v>
      </c>
      <c r="L214">
        <v>3</v>
      </c>
      <c r="M214" t="s">
        <v>51</v>
      </c>
      <c r="N214">
        <v>58</v>
      </c>
      <c r="O214">
        <v>3</v>
      </c>
      <c r="P214">
        <v>2</v>
      </c>
      <c r="Q214" t="s">
        <v>48</v>
      </c>
      <c r="R214">
        <v>3</v>
      </c>
      <c r="S214" t="s">
        <v>56</v>
      </c>
      <c r="T214">
        <v>7032</v>
      </c>
      <c r="U214">
        <v>3284</v>
      </c>
      <c r="V214">
        <v>2</v>
      </c>
      <c r="W214" t="s">
        <v>35</v>
      </c>
      <c r="X214">
        <v>16</v>
      </c>
      <c r="Y214">
        <v>4</v>
      </c>
      <c r="Z214">
        <v>3</v>
      </c>
      <c r="AA214">
        <v>0</v>
      </c>
      <c r="AB214">
        <v>15</v>
      </c>
      <c r="AC214">
        <v>0</v>
      </c>
      <c r="AD214">
        <v>2</v>
      </c>
      <c r="AE214">
        <v>0</v>
      </c>
      <c r="AF214">
        <v>0</v>
      </c>
      <c r="AG214">
        <v>0</v>
      </c>
      <c r="AH214">
        <v>0</v>
      </c>
    </row>
    <row r="215" spans="1:34" x14ac:dyDescent="0.35">
      <c r="A215" t="s">
        <v>275</v>
      </c>
      <c r="B215">
        <v>42</v>
      </c>
      <c r="C215" t="str">
        <f t="shared" si="3"/>
        <v>35-44</v>
      </c>
      <c r="D215" t="s">
        <v>43</v>
      </c>
      <c r="E215" t="s">
        <v>45</v>
      </c>
      <c r="F215" t="s">
        <v>37</v>
      </c>
      <c r="G215">
        <v>706</v>
      </c>
      <c r="H215" t="s">
        <v>46</v>
      </c>
      <c r="I215">
        <v>3</v>
      </c>
      <c r="J215">
        <v>3</v>
      </c>
      <c r="K215" t="s">
        <v>103</v>
      </c>
      <c r="L215">
        <v>4</v>
      </c>
      <c r="M215" t="s">
        <v>51</v>
      </c>
      <c r="N215">
        <v>38</v>
      </c>
      <c r="O215">
        <v>3</v>
      </c>
      <c r="P215">
        <v>1</v>
      </c>
      <c r="Q215" t="s">
        <v>80</v>
      </c>
      <c r="R215">
        <v>1</v>
      </c>
      <c r="S215" t="s">
        <v>49</v>
      </c>
      <c r="T215">
        <v>6713</v>
      </c>
      <c r="U215">
        <v>11268</v>
      </c>
      <c r="V215">
        <v>1</v>
      </c>
      <c r="W215" t="s">
        <v>43</v>
      </c>
      <c r="X215">
        <v>16</v>
      </c>
      <c r="Y215">
        <v>3</v>
      </c>
      <c r="Z215">
        <v>3</v>
      </c>
      <c r="AA215">
        <v>0</v>
      </c>
      <c r="AB215">
        <v>16</v>
      </c>
      <c r="AC215">
        <v>3</v>
      </c>
      <c r="AD215">
        <v>1</v>
      </c>
      <c r="AE215">
        <v>1</v>
      </c>
      <c r="AF215">
        <v>1</v>
      </c>
      <c r="AG215">
        <v>1</v>
      </c>
      <c r="AH215">
        <v>1</v>
      </c>
    </row>
    <row r="216" spans="1:34" x14ac:dyDescent="0.35">
      <c r="A216" t="s">
        <v>276</v>
      </c>
      <c r="B216">
        <v>36</v>
      </c>
      <c r="C216" t="str">
        <f t="shared" si="3"/>
        <v>35-44</v>
      </c>
      <c r="D216" t="s">
        <v>35</v>
      </c>
      <c r="E216" t="s">
        <v>36</v>
      </c>
      <c r="F216" t="s">
        <v>54</v>
      </c>
      <c r="G216">
        <v>278</v>
      </c>
      <c r="H216" t="s">
        <v>38</v>
      </c>
      <c r="I216">
        <v>25</v>
      </c>
      <c r="J216">
        <v>2</v>
      </c>
      <c r="K216" t="s">
        <v>64</v>
      </c>
      <c r="L216">
        <v>4</v>
      </c>
      <c r="M216" t="s">
        <v>51</v>
      </c>
      <c r="N216">
        <v>61</v>
      </c>
      <c r="O216">
        <v>3</v>
      </c>
      <c r="P216">
        <v>1</v>
      </c>
      <c r="Q216" t="s">
        <v>60</v>
      </c>
      <c r="R216">
        <v>1</v>
      </c>
      <c r="S216" t="s">
        <v>49</v>
      </c>
      <c r="T216">
        <v>5188</v>
      </c>
      <c r="U216">
        <v>20344</v>
      </c>
      <c r="V216">
        <v>3</v>
      </c>
      <c r="W216" t="s">
        <v>35</v>
      </c>
      <c r="X216">
        <v>13</v>
      </c>
      <c r="Y216">
        <v>3</v>
      </c>
      <c r="Z216">
        <v>3</v>
      </c>
      <c r="AA216">
        <v>1</v>
      </c>
      <c r="AB216">
        <v>12</v>
      </c>
      <c r="AC216">
        <v>0</v>
      </c>
      <c r="AD216">
        <v>3</v>
      </c>
      <c r="AE216">
        <v>2</v>
      </c>
      <c r="AF216">
        <v>1</v>
      </c>
      <c r="AG216">
        <v>2</v>
      </c>
      <c r="AH216">
        <v>2</v>
      </c>
    </row>
    <row r="217" spans="1:34" x14ac:dyDescent="0.35">
      <c r="A217" t="s">
        <v>277</v>
      </c>
      <c r="B217">
        <v>47</v>
      </c>
      <c r="C217" t="str">
        <f t="shared" si="3"/>
        <v>45-54</v>
      </c>
      <c r="D217" t="s">
        <v>35</v>
      </c>
      <c r="E217" t="s">
        <v>36</v>
      </c>
      <c r="F217" t="s">
        <v>37</v>
      </c>
      <c r="G217">
        <v>1224</v>
      </c>
      <c r="H217" t="s">
        <v>38</v>
      </c>
      <c r="I217">
        <v>16</v>
      </c>
      <c r="J217">
        <v>4</v>
      </c>
      <c r="K217" t="s">
        <v>47</v>
      </c>
      <c r="L217">
        <v>3</v>
      </c>
      <c r="M217" t="s">
        <v>40</v>
      </c>
      <c r="N217">
        <v>75</v>
      </c>
      <c r="O217">
        <v>3</v>
      </c>
      <c r="P217">
        <v>5</v>
      </c>
      <c r="Q217" t="s">
        <v>52</v>
      </c>
      <c r="R217">
        <v>4</v>
      </c>
      <c r="S217" t="s">
        <v>42</v>
      </c>
      <c r="T217">
        <v>14431</v>
      </c>
      <c r="U217">
        <v>25202</v>
      </c>
      <c r="V217">
        <v>4</v>
      </c>
      <c r="W217" t="s">
        <v>43</v>
      </c>
      <c r="X217">
        <v>12</v>
      </c>
      <c r="Y217">
        <v>3</v>
      </c>
      <c r="Z217">
        <v>3</v>
      </c>
      <c r="AA217">
        <v>1</v>
      </c>
      <c r="AB217">
        <v>29</v>
      </c>
      <c r="AC217">
        <v>4</v>
      </c>
      <c r="AD217">
        <v>3</v>
      </c>
      <c r="AE217">
        <v>24</v>
      </c>
      <c r="AF217">
        <v>2</v>
      </c>
      <c r="AG217">
        <v>3</v>
      </c>
      <c r="AH217">
        <v>5</v>
      </c>
    </row>
    <row r="218" spans="1:34" x14ac:dyDescent="0.35">
      <c r="A218" t="s">
        <v>278</v>
      </c>
      <c r="B218">
        <v>33</v>
      </c>
      <c r="C218" t="str">
        <f t="shared" si="3"/>
        <v>25-34</v>
      </c>
      <c r="D218" t="s">
        <v>35</v>
      </c>
      <c r="E218" t="s">
        <v>36</v>
      </c>
      <c r="F218" t="s">
        <v>37</v>
      </c>
      <c r="G218">
        <v>316</v>
      </c>
      <c r="H218" t="s">
        <v>38</v>
      </c>
      <c r="I218">
        <v>12</v>
      </c>
      <c r="J218">
        <v>2</v>
      </c>
      <c r="K218" t="s">
        <v>64</v>
      </c>
      <c r="L218">
        <v>4</v>
      </c>
      <c r="M218" t="s">
        <v>51</v>
      </c>
      <c r="N218">
        <v>85</v>
      </c>
      <c r="O218">
        <v>3</v>
      </c>
      <c r="P218">
        <v>1</v>
      </c>
      <c r="Q218" t="s">
        <v>62</v>
      </c>
      <c r="R218">
        <v>3</v>
      </c>
      <c r="S218" t="s">
        <v>49</v>
      </c>
      <c r="T218">
        <v>4399</v>
      </c>
      <c r="U218">
        <v>3892</v>
      </c>
      <c r="V218">
        <v>4</v>
      </c>
      <c r="W218" t="s">
        <v>35</v>
      </c>
      <c r="X218">
        <v>23</v>
      </c>
      <c r="Y218">
        <v>3</v>
      </c>
      <c r="Z218">
        <v>4</v>
      </c>
      <c r="AA218">
        <v>1</v>
      </c>
      <c r="AB218">
        <v>10</v>
      </c>
      <c r="AC218">
        <v>2</v>
      </c>
      <c r="AD218">
        <v>3</v>
      </c>
      <c r="AE218">
        <v>3</v>
      </c>
      <c r="AF218">
        <v>3</v>
      </c>
      <c r="AG218">
        <v>0</v>
      </c>
      <c r="AH218">
        <v>1</v>
      </c>
    </row>
    <row r="219" spans="1:34" x14ac:dyDescent="0.35">
      <c r="A219" t="s">
        <v>279</v>
      </c>
      <c r="B219">
        <v>28</v>
      </c>
      <c r="C219" t="str">
        <f t="shared" si="3"/>
        <v>25-34</v>
      </c>
      <c r="D219" t="s">
        <v>35</v>
      </c>
      <c r="E219" t="s">
        <v>36</v>
      </c>
      <c r="F219" t="s">
        <v>37</v>
      </c>
      <c r="G219">
        <v>1267</v>
      </c>
      <c r="H219" t="s">
        <v>38</v>
      </c>
      <c r="I219">
        <v>1</v>
      </c>
      <c r="J219">
        <v>3</v>
      </c>
      <c r="K219" t="s">
        <v>47</v>
      </c>
      <c r="L219">
        <v>3</v>
      </c>
      <c r="M219" t="s">
        <v>51</v>
      </c>
      <c r="N219">
        <v>47</v>
      </c>
      <c r="O219">
        <v>3</v>
      </c>
      <c r="P219">
        <v>2</v>
      </c>
      <c r="Q219" t="s">
        <v>55</v>
      </c>
      <c r="R219">
        <v>1</v>
      </c>
      <c r="S219" t="s">
        <v>42</v>
      </c>
      <c r="T219">
        <v>5664</v>
      </c>
      <c r="U219">
        <v>2390</v>
      </c>
      <c r="V219">
        <v>2</v>
      </c>
      <c r="W219" t="s">
        <v>35</v>
      </c>
      <c r="X219">
        <v>17</v>
      </c>
      <c r="Y219">
        <v>3</v>
      </c>
      <c r="Z219">
        <v>3</v>
      </c>
      <c r="AA219">
        <v>2</v>
      </c>
      <c r="AB219">
        <v>5</v>
      </c>
      <c r="AC219">
        <v>2</v>
      </c>
      <c r="AD219">
        <v>3</v>
      </c>
      <c r="AE219">
        <v>5</v>
      </c>
      <c r="AF219">
        <v>5</v>
      </c>
      <c r="AG219">
        <v>1</v>
      </c>
      <c r="AH219">
        <v>1</v>
      </c>
    </row>
    <row r="220" spans="1:34" x14ac:dyDescent="0.35">
      <c r="A220" t="s">
        <v>280</v>
      </c>
      <c r="B220">
        <v>20</v>
      </c>
      <c r="C220" t="str">
        <f t="shared" si="3"/>
        <v>under 25</v>
      </c>
      <c r="D220" t="s">
        <v>35</v>
      </c>
      <c r="E220" t="s">
        <v>36</v>
      </c>
      <c r="F220" t="s">
        <v>37</v>
      </c>
      <c r="G220">
        <v>1001</v>
      </c>
      <c r="H220" t="s">
        <v>46</v>
      </c>
      <c r="I220">
        <v>2</v>
      </c>
      <c r="J220">
        <v>5</v>
      </c>
      <c r="K220" t="s">
        <v>103</v>
      </c>
      <c r="L220">
        <v>2</v>
      </c>
      <c r="M220" t="s">
        <v>40</v>
      </c>
      <c r="N220">
        <v>67</v>
      </c>
      <c r="O220">
        <v>2</v>
      </c>
      <c r="P220">
        <v>1</v>
      </c>
      <c r="Q220" t="s">
        <v>65</v>
      </c>
      <c r="R220">
        <v>3</v>
      </c>
      <c r="S220" t="s">
        <v>42</v>
      </c>
      <c r="T220">
        <v>3314</v>
      </c>
      <c r="U220">
        <v>23529</v>
      </c>
      <c r="V220">
        <v>2</v>
      </c>
      <c r="W220" t="s">
        <v>35</v>
      </c>
      <c r="X220">
        <v>11</v>
      </c>
      <c r="Y220">
        <v>3</v>
      </c>
      <c r="Z220">
        <v>2</v>
      </c>
      <c r="AA220">
        <v>1</v>
      </c>
      <c r="AB220">
        <v>0</v>
      </c>
      <c r="AC220">
        <v>2</v>
      </c>
      <c r="AD220">
        <v>3</v>
      </c>
      <c r="AE220">
        <v>0</v>
      </c>
      <c r="AF220">
        <v>0</v>
      </c>
      <c r="AG220">
        <v>0</v>
      </c>
      <c r="AH220">
        <v>0</v>
      </c>
    </row>
    <row r="221" spans="1:34" x14ac:dyDescent="0.35">
      <c r="A221" t="s">
        <v>281</v>
      </c>
      <c r="B221">
        <v>41</v>
      </c>
      <c r="C221" t="str">
        <f t="shared" si="3"/>
        <v>35-44</v>
      </c>
      <c r="D221" t="s">
        <v>35</v>
      </c>
      <c r="E221" t="s">
        <v>36</v>
      </c>
      <c r="F221" t="s">
        <v>54</v>
      </c>
      <c r="G221">
        <v>294</v>
      </c>
      <c r="H221" t="s">
        <v>38</v>
      </c>
      <c r="I221">
        <v>1</v>
      </c>
      <c r="J221">
        <v>3</v>
      </c>
      <c r="K221" t="s">
        <v>39</v>
      </c>
      <c r="L221">
        <v>3</v>
      </c>
      <c r="M221" t="s">
        <v>40</v>
      </c>
      <c r="N221">
        <v>44</v>
      </c>
      <c r="O221">
        <v>1</v>
      </c>
      <c r="P221">
        <v>1</v>
      </c>
      <c r="Q221" t="s">
        <v>48</v>
      </c>
      <c r="R221">
        <v>3</v>
      </c>
      <c r="S221" t="s">
        <v>42</v>
      </c>
      <c r="T221">
        <v>5500</v>
      </c>
      <c r="U221">
        <v>2646</v>
      </c>
      <c r="V221">
        <v>2</v>
      </c>
      <c r="W221" t="s">
        <v>35</v>
      </c>
      <c r="X221">
        <v>18</v>
      </c>
      <c r="Y221">
        <v>3</v>
      </c>
      <c r="Z221">
        <v>4</v>
      </c>
      <c r="AA221">
        <v>0</v>
      </c>
      <c r="AB221">
        <v>20</v>
      </c>
      <c r="AC221">
        <v>2</v>
      </c>
      <c r="AD221">
        <v>2</v>
      </c>
      <c r="AE221">
        <v>1</v>
      </c>
      <c r="AF221">
        <v>1</v>
      </c>
      <c r="AG221">
        <v>0</v>
      </c>
      <c r="AH221">
        <v>1</v>
      </c>
    </row>
    <row r="222" spans="1:34" x14ac:dyDescent="0.35">
      <c r="A222" t="s">
        <v>282</v>
      </c>
      <c r="B222">
        <v>31</v>
      </c>
      <c r="C222" t="str">
        <f t="shared" si="3"/>
        <v>25-34</v>
      </c>
      <c r="D222" t="s">
        <v>43</v>
      </c>
      <c r="E222" t="s">
        <v>45</v>
      </c>
      <c r="F222" t="s">
        <v>37</v>
      </c>
      <c r="G222">
        <v>593</v>
      </c>
      <c r="H222" t="s">
        <v>38</v>
      </c>
      <c r="I222">
        <v>2</v>
      </c>
      <c r="J222">
        <v>3</v>
      </c>
      <c r="K222" t="s">
        <v>47</v>
      </c>
      <c r="L222">
        <v>1</v>
      </c>
      <c r="M222" t="s">
        <v>51</v>
      </c>
      <c r="N222">
        <v>84</v>
      </c>
      <c r="O222">
        <v>3</v>
      </c>
      <c r="P222">
        <v>1</v>
      </c>
      <c r="Q222" t="s">
        <v>62</v>
      </c>
      <c r="R222">
        <v>4</v>
      </c>
      <c r="S222" t="s">
        <v>49</v>
      </c>
      <c r="T222">
        <v>4964</v>
      </c>
      <c r="U222">
        <v>19810</v>
      </c>
      <c r="V222">
        <v>4</v>
      </c>
      <c r="W222" t="s">
        <v>43</v>
      </c>
      <c r="X222">
        <v>11</v>
      </c>
      <c r="Y222">
        <v>3</v>
      </c>
      <c r="Z222">
        <v>3</v>
      </c>
      <c r="AA222">
        <v>0</v>
      </c>
      <c r="AB222">
        <v>9</v>
      </c>
      <c r="AC222">
        <v>1</v>
      </c>
      <c r="AD222">
        <v>3</v>
      </c>
      <c r="AE222">
        <v>0</v>
      </c>
      <c r="AF222">
        <v>0</v>
      </c>
      <c r="AG222">
        <v>0</v>
      </c>
      <c r="AH222">
        <v>0</v>
      </c>
    </row>
    <row r="223" spans="1:34" x14ac:dyDescent="0.35">
      <c r="A223" t="s">
        <v>283</v>
      </c>
      <c r="B223">
        <v>36</v>
      </c>
      <c r="C223" t="str">
        <f t="shared" si="3"/>
        <v>35-44</v>
      </c>
      <c r="D223" t="s">
        <v>35</v>
      </c>
      <c r="E223" t="s">
        <v>36</v>
      </c>
      <c r="F223" t="s">
        <v>37</v>
      </c>
      <c r="G223">
        <v>226</v>
      </c>
      <c r="H223" t="s">
        <v>38</v>
      </c>
      <c r="I223">
        <v>4</v>
      </c>
      <c r="J223">
        <v>1</v>
      </c>
      <c r="K223" t="s">
        <v>64</v>
      </c>
      <c r="L223">
        <v>2</v>
      </c>
      <c r="M223" t="s">
        <v>40</v>
      </c>
      <c r="N223">
        <v>98</v>
      </c>
      <c r="O223">
        <v>3</v>
      </c>
      <c r="P223">
        <v>3</v>
      </c>
      <c r="Q223" t="s">
        <v>41</v>
      </c>
      <c r="R223">
        <v>3</v>
      </c>
      <c r="S223" t="s">
        <v>42</v>
      </c>
      <c r="T223">
        <v>9272</v>
      </c>
      <c r="U223">
        <v>4268</v>
      </c>
      <c r="V223">
        <v>3</v>
      </c>
      <c r="W223" t="s">
        <v>35</v>
      </c>
      <c r="X223">
        <v>18</v>
      </c>
      <c r="Y223">
        <v>3</v>
      </c>
      <c r="Z223">
        <v>1</v>
      </c>
      <c r="AA223">
        <v>1</v>
      </c>
      <c r="AB223">
        <v>11</v>
      </c>
      <c r="AC223">
        <v>3</v>
      </c>
      <c r="AD223">
        <v>3</v>
      </c>
      <c r="AE223">
        <v>11</v>
      </c>
      <c r="AF223">
        <v>11</v>
      </c>
      <c r="AG223">
        <v>2</v>
      </c>
      <c r="AH223">
        <v>0</v>
      </c>
    </row>
    <row r="224" spans="1:34" x14ac:dyDescent="0.35">
      <c r="A224" t="s">
        <v>284</v>
      </c>
      <c r="B224">
        <v>44</v>
      </c>
      <c r="C224" t="str">
        <f t="shared" si="3"/>
        <v>35-44</v>
      </c>
      <c r="D224" t="s">
        <v>35</v>
      </c>
      <c r="E224" t="s">
        <v>36</v>
      </c>
      <c r="F224" t="s">
        <v>37</v>
      </c>
      <c r="G224">
        <v>774</v>
      </c>
      <c r="H224" t="s">
        <v>99</v>
      </c>
      <c r="I224">
        <v>20</v>
      </c>
      <c r="J224">
        <v>1</v>
      </c>
      <c r="K224" t="s">
        <v>64</v>
      </c>
      <c r="L224">
        <v>3</v>
      </c>
      <c r="M224" t="s">
        <v>40</v>
      </c>
      <c r="N224">
        <v>95</v>
      </c>
      <c r="O224">
        <v>3</v>
      </c>
      <c r="P224">
        <v>3</v>
      </c>
      <c r="Q224" t="s">
        <v>99</v>
      </c>
      <c r="R224">
        <v>4</v>
      </c>
      <c r="S224" t="s">
        <v>49</v>
      </c>
      <c r="T224">
        <v>11261</v>
      </c>
      <c r="U224">
        <v>13141</v>
      </c>
      <c r="V224">
        <v>1</v>
      </c>
      <c r="W224" t="s">
        <v>35</v>
      </c>
      <c r="X224">
        <v>12</v>
      </c>
      <c r="Y224">
        <v>3</v>
      </c>
      <c r="Z224">
        <v>2</v>
      </c>
      <c r="AA224">
        <v>1</v>
      </c>
      <c r="AB224">
        <v>21</v>
      </c>
      <c r="AC224">
        <v>5</v>
      </c>
      <c r="AD224">
        <v>3</v>
      </c>
      <c r="AE224">
        <v>5</v>
      </c>
      <c r="AF224">
        <v>1</v>
      </c>
      <c r="AG224">
        <v>2</v>
      </c>
      <c r="AH224">
        <v>0</v>
      </c>
    </row>
    <row r="225" spans="1:34" x14ac:dyDescent="0.35">
      <c r="A225" t="s">
        <v>285</v>
      </c>
      <c r="B225">
        <v>35</v>
      </c>
      <c r="C225" t="str">
        <f t="shared" si="3"/>
        <v>35-44</v>
      </c>
      <c r="D225" t="s">
        <v>35</v>
      </c>
      <c r="E225" t="s">
        <v>36</v>
      </c>
      <c r="F225" t="s">
        <v>37</v>
      </c>
      <c r="G225">
        <v>100</v>
      </c>
      <c r="H225" t="s">
        <v>46</v>
      </c>
      <c r="I225">
        <v>29</v>
      </c>
      <c r="J225">
        <v>5</v>
      </c>
      <c r="K225" t="s">
        <v>103</v>
      </c>
      <c r="L225">
        <v>3</v>
      </c>
      <c r="M225" t="s">
        <v>40</v>
      </c>
      <c r="N225">
        <v>80</v>
      </c>
      <c r="O225">
        <v>2</v>
      </c>
      <c r="P225">
        <v>2</v>
      </c>
      <c r="Q225" t="s">
        <v>80</v>
      </c>
      <c r="R225">
        <v>4</v>
      </c>
      <c r="S225" t="s">
        <v>56</v>
      </c>
      <c r="T225">
        <v>7711</v>
      </c>
      <c r="U225">
        <v>7957</v>
      </c>
      <c r="V225">
        <v>2</v>
      </c>
      <c r="W225" t="s">
        <v>35</v>
      </c>
      <c r="X225">
        <v>17</v>
      </c>
      <c r="Y225">
        <v>3</v>
      </c>
      <c r="Z225">
        <v>1</v>
      </c>
      <c r="AA225">
        <v>0</v>
      </c>
      <c r="AB225">
        <v>13</v>
      </c>
      <c r="AC225">
        <v>3</v>
      </c>
      <c r="AD225">
        <v>1</v>
      </c>
      <c r="AE225">
        <v>1</v>
      </c>
      <c r="AF225">
        <v>0</v>
      </c>
      <c r="AG225">
        <v>1</v>
      </c>
      <c r="AH225">
        <v>1</v>
      </c>
    </row>
    <row r="226" spans="1:34" x14ac:dyDescent="0.35">
      <c r="A226" t="s">
        <v>286</v>
      </c>
      <c r="B226">
        <v>33</v>
      </c>
      <c r="C226" t="str">
        <f t="shared" si="3"/>
        <v>25-34</v>
      </c>
      <c r="D226" t="s">
        <v>35</v>
      </c>
      <c r="E226" t="s">
        <v>36</v>
      </c>
      <c r="F226" t="s">
        <v>37</v>
      </c>
      <c r="G226">
        <v>1200</v>
      </c>
      <c r="H226" t="s">
        <v>46</v>
      </c>
      <c r="I226">
        <v>6</v>
      </c>
      <c r="J226">
        <v>4</v>
      </c>
      <c r="K226" t="s">
        <v>47</v>
      </c>
      <c r="L226">
        <v>4</v>
      </c>
      <c r="M226" t="s">
        <v>40</v>
      </c>
      <c r="N226">
        <v>35</v>
      </c>
      <c r="O226">
        <v>3</v>
      </c>
      <c r="P226">
        <v>4</v>
      </c>
      <c r="Q226" t="s">
        <v>48</v>
      </c>
      <c r="R226">
        <v>4</v>
      </c>
      <c r="S226" t="s">
        <v>42</v>
      </c>
      <c r="T226">
        <v>9576</v>
      </c>
      <c r="U226">
        <v>8474</v>
      </c>
      <c r="V226">
        <v>4</v>
      </c>
      <c r="W226" t="s">
        <v>35</v>
      </c>
      <c r="X226">
        <v>12</v>
      </c>
      <c r="Y226">
        <v>3</v>
      </c>
      <c r="Z226">
        <v>2</v>
      </c>
      <c r="AA226">
        <v>0</v>
      </c>
      <c r="AB226">
        <v>11</v>
      </c>
      <c r="AC226">
        <v>3</v>
      </c>
      <c r="AD226">
        <v>4</v>
      </c>
      <c r="AE226">
        <v>11</v>
      </c>
      <c r="AF226">
        <v>9</v>
      </c>
      <c r="AG226">
        <v>0</v>
      </c>
      <c r="AH226">
        <v>4</v>
      </c>
    </row>
    <row r="227" spans="1:34" x14ac:dyDescent="0.35">
      <c r="A227" t="s">
        <v>287</v>
      </c>
      <c r="B227">
        <v>30</v>
      </c>
      <c r="C227" t="str">
        <f t="shared" si="3"/>
        <v>25-34</v>
      </c>
      <c r="D227" t="s">
        <v>35</v>
      </c>
      <c r="E227" t="s">
        <v>36</v>
      </c>
      <c r="F227" t="s">
        <v>37</v>
      </c>
      <c r="G227">
        <v>988</v>
      </c>
      <c r="H227" t="s">
        <v>46</v>
      </c>
      <c r="I227">
        <v>10</v>
      </c>
      <c r="J227">
        <v>3</v>
      </c>
      <c r="K227" t="s">
        <v>103</v>
      </c>
      <c r="L227">
        <v>4</v>
      </c>
      <c r="M227" t="s">
        <v>51</v>
      </c>
      <c r="N227">
        <v>90</v>
      </c>
      <c r="O227">
        <v>3</v>
      </c>
      <c r="P227">
        <v>1</v>
      </c>
      <c r="Q227" t="s">
        <v>65</v>
      </c>
      <c r="R227">
        <v>3</v>
      </c>
      <c r="S227" t="s">
        <v>42</v>
      </c>
      <c r="T227">
        <v>4285</v>
      </c>
      <c r="U227">
        <v>24115</v>
      </c>
      <c r="V227">
        <v>3</v>
      </c>
      <c r="W227" t="s">
        <v>35</v>
      </c>
      <c r="X227">
        <v>13</v>
      </c>
      <c r="Y227">
        <v>3</v>
      </c>
      <c r="Z227">
        <v>2</v>
      </c>
      <c r="AA227">
        <v>0</v>
      </c>
      <c r="AB227">
        <v>8</v>
      </c>
      <c r="AC227">
        <v>5</v>
      </c>
      <c r="AD227">
        <v>2</v>
      </c>
      <c r="AE227">
        <v>2</v>
      </c>
      <c r="AF227">
        <v>2</v>
      </c>
      <c r="AG227">
        <v>1</v>
      </c>
      <c r="AH227">
        <v>2</v>
      </c>
    </row>
    <row r="228" spans="1:34" x14ac:dyDescent="0.35">
      <c r="A228" t="s">
        <v>288</v>
      </c>
      <c r="B228">
        <v>41</v>
      </c>
      <c r="C228" t="str">
        <f t="shared" si="3"/>
        <v>35-44</v>
      </c>
      <c r="D228" t="s">
        <v>43</v>
      </c>
      <c r="E228" t="s">
        <v>45</v>
      </c>
      <c r="F228" t="s">
        <v>37</v>
      </c>
      <c r="G228">
        <v>153</v>
      </c>
      <c r="H228" t="s">
        <v>38</v>
      </c>
      <c r="I228">
        <v>1</v>
      </c>
      <c r="J228">
        <v>4</v>
      </c>
      <c r="K228" t="s">
        <v>69</v>
      </c>
      <c r="L228">
        <v>2</v>
      </c>
      <c r="M228" t="s">
        <v>40</v>
      </c>
      <c r="N228">
        <v>84</v>
      </c>
      <c r="O228">
        <v>3</v>
      </c>
      <c r="P228">
        <v>4</v>
      </c>
      <c r="Q228" t="s">
        <v>60</v>
      </c>
      <c r="R228">
        <v>3</v>
      </c>
      <c r="S228" t="s">
        <v>42</v>
      </c>
      <c r="T228">
        <v>8816</v>
      </c>
      <c r="U228">
        <v>13102</v>
      </c>
      <c r="V228">
        <v>4</v>
      </c>
      <c r="W228" t="s">
        <v>43</v>
      </c>
      <c r="X228">
        <v>13</v>
      </c>
      <c r="Y228">
        <v>3</v>
      </c>
      <c r="Z228">
        <v>2</v>
      </c>
      <c r="AA228">
        <v>1</v>
      </c>
      <c r="AB228">
        <v>18</v>
      </c>
      <c r="AC228">
        <v>3</v>
      </c>
      <c r="AD228">
        <v>2</v>
      </c>
      <c r="AE228">
        <v>17</v>
      </c>
      <c r="AF228">
        <v>4</v>
      </c>
      <c r="AG228">
        <v>0</v>
      </c>
      <c r="AH228">
        <v>3</v>
      </c>
    </row>
    <row r="229" spans="1:34" x14ac:dyDescent="0.35">
      <c r="A229" t="s">
        <v>289</v>
      </c>
      <c r="B229">
        <v>30</v>
      </c>
      <c r="C229" t="str">
        <f t="shared" si="3"/>
        <v>25-34</v>
      </c>
      <c r="D229" t="s">
        <v>35</v>
      </c>
      <c r="E229" t="s">
        <v>36</v>
      </c>
      <c r="F229" t="s">
        <v>37</v>
      </c>
      <c r="G229">
        <v>301</v>
      </c>
      <c r="H229" t="s">
        <v>46</v>
      </c>
      <c r="I229">
        <v>16</v>
      </c>
      <c r="J229">
        <v>3</v>
      </c>
      <c r="K229" t="s">
        <v>69</v>
      </c>
      <c r="L229">
        <v>4</v>
      </c>
      <c r="M229" t="s">
        <v>40</v>
      </c>
      <c r="N229">
        <v>93</v>
      </c>
      <c r="O229">
        <v>3</v>
      </c>
      <c r="P229">
        <v>1</v>
      </c>
      <c r="Q229" t="s">
        <v>80</v>
      </c>
      <c r="R229">
        <v>1</v>
      </c>
      <c r="S229" t="s">
        <v>56</v>
      </c>
      <c r="T229">
        <v>5056</v>
      </c>
      <c r="U229">
        <v>19920</v>
      </c>
      <c r="V229">
        <v>2</v>
      </c>
      <c r="W229" t="s">
        <v>35</v>
      </c>
      <c r="X229">
        <v>14</v>
      </c>
      <c r="Y229">
        <v>3</v>
      </c>
      <c r="Z229">
        <v>3</v>
      </c>
      <c r="AA229">
        <v>0</v>
      </c>
      <c r="AB229">
        <v>7</v>
      </c>
      <c r="AC229">
        <v>1</v>
      </c>
      <c r="AD229">
        <v>3</v>
      </c>
      <c r="AE229">
        <v>3</v>
      </c>
      <c r="AF229">
        <v>1</v>
      </c>
      <c r="AG229">
        <v>0</v>
      </c>
      <c r="AH229">
        <v>1</v>
      </c>
    </row>
    <row r="230" spans="1:34" x14ac:dyDescent="0.35">
      <c r="A230" t="s">
        <v>290</v>
      </c>
      <c r="B230">
        <v>34</v>
      </c>
      <c r="C230" t="str">
        <f t="shared" si="3"/>
        <v>25-34</v>
      </c>
      <c r="D230" t="s">
        <v>35</v>
      </c>
      <c r="E230" t="s">
        <v>36</v>
      </c>
      <c r="F230" t="s">
        <v>37</v>
      </c>
      <c r="G230">
        <v>487</v>
      </c>
      <c r="H230" t="s">
        <v>46</v>
      </c>
      <c r="I230">
        <v>3</v>
      </c>
      <c r="J230">
        <v>3</v>
      </c>
      <c r="K230" t="s">
        <v>103</v>
      </c>
      <c r="L230">
        <v>2</v>
      </c>
      <c r="M230" t="s">
        <v>40</v>
      </c>
      <c r="N230">
        <v>47</v>
      </c>
      <c r="O230">
        <v>3</v>
      </c>
      <c r="P230">
        <v>1</v>
      </c>
      <c r="Q230" t="s">
        <v>65</v>
      </c>
      <c r="R230">
        <v>3</v>
      </c>
      <c r="S230" t="s">
        <v>56</v>
      </c>
      <c r="T230">
        <v>5802</v>
      </c>
      <c r="U230">
        <v>19634</v>
      </c>
      <c r="V230">
        <v>3</v>
      </c>
      <c r="W230" t="s">
        <v>35</v>
      </c>
      <c r="X230">
        <v>17</v>
      </c>
      <c r="Y230">
        <v>3</v>
      </c>
      <c r="Z230">
        <v>2</v>
      </c>
      <c r="AA230">
        <v>1</v>
      </c>
      <c r="AB230">
        <v>12</v>
      </c>
      <c r="AC230">
        <v>1</v>
      </c>
      <c r="AD230">
        <v>3</v>
      </c>
      <c r="AE230">
        <v>0</v>
      </c>
      <c r="AF230">
        <v>0</v>
      </c>
      <c r="AG230">
        <v>0</v>
      </c>
      <c r="AH230">
        <v>0</v>
      </c>
    </row>
    <row r="231" spans="1:34" x14ac:dyDescent="0.35">
      <c r="A231" t="s">
        <v>291</v>
      </c>
      <c r="B231">
        <v>25</v>
      </c>
      <c r="C231" t="str">
        <f t="shared" si="3"/>
        <v>under 25</v>
      </c>
      <c r="D231" t="s">
        <v>35</v>
      </c>
      <c r="E231" t="s">
        <v>36</v>
      </c>
      <c r="F231" t="s">
        <v>59</v>
      </c>
      <c r="G231">
        <v>1450</v>
      </c>
      <c r="H231" t="s">
        <v>99</v>
      </c>
      <c r="I231">
        <v>12</v>
      </c>
      <c r="J231">
        <v>3</v>
      </c>
      <c r="K231" t="s">
        <v>47</v>
      </c>
      <c r="L231">
        <v>4</v>
      </c>
      <c r="M231" t="s">
        <v>51</v>
      </c>
      <c r="N231">
        <v>83</v>
      </c>
      <c r="O231">
        <v>1</v>
      </c>
      <c r="P231">
        <v>1</v>
      </c>
      <c r="Q231" t="s">
        <v>48</v>
      </c>
      <c r="R231">
        <v>3</v>
      </c>
      <c r="S231" t="s">
        <v>42</v>
      </c>
      <c r="T231">
        <v>5544</v>
      </c>
      <c r="U231">
        <v>22089</v>
      </c>
      <c r="V231">
        <v>1</v>
      </c>
      <c r="W231" t="s">
        <v>35</v>
      </c>
      <c r="X231">
        <v>11</v>
      </c>
      <c r="Y231">
        <v>3</v>
      </c>
      <c r="Z231">
        <v>3</v>
      </c>
      <c r="AA231">
        <v>0</v>
      </c>
      <c r="AB231">
        <v>6</v>
      </c>
      <c r="AC231">
        <v>1</v>
      </c>
      <c r="AD231">
        <v>3</v>
      </c>
      <c r="AE231">
        <v>0</v>
      </c>
      <c r="AF231">
        <v>0</v>
      </c>
      <c r="AG231">
        <v>0</v>
      </c>
      <c r="AH231">
        <v>0</v>
      </c>
    </row>
    <row r="232" spans="1:34" x14ac:dyDescent="0.35">
      <c r="A232" t="s">
        <v>292</v>
      </c>
      <c r="B232">
        <v>33</v>
      </c>
      <c r="C232" t="str">
        <f t="shared" si="3"/>
        <v>25-34</v>
      </c>
      <c r="D232" t="s">
        <v>35</v>
      </c>
      <c r="E232" t="s">
        <v>36</v>
      </c>
      <c r="F232" t="s">
        <v>54</v>
      </c>
      <c r="G232">
        <v>1128</v>
      </c>
      <c r="H232" t="s">
        <v>38</v>
      </c>
      <c r="I232">
        <v>4</v>
      </c>
      <c r="J232">
        <v>3</v>
      </c>
      <c r="K232" t="s">
        <v>69</v>
      </c>
      <c r="L232">
        <v>1</v>
      </c>
      <c r="M232" t="s">
        <v>51</v>
      </c>
      <c r="N232">
        <v>30</v>
      </c>
      <c r="O232">
        <v>3</v>
      </c>
      <c r="P232">
        <v>2</v>
      </c>
      <c r="Q232" t="s">
        <v>48</v>
      </c>
      <c r="R232">
        <v>1</v>
      </c>
      <c r="S232" t="s">
        <v>49</v>
      </c>
      <c r="T232">
        <v>5191</v>
      </c>
      <c r="U232">
        <v>14075</v>
      </c>
      <c r="V232">
        <v>4</v>
      </c>
      <c r="W232" t="s">
        <v>35</v>
      </c>
      <c r="X232">
        <v>15</v>
      </c>
      <c r="Y232">
        <v>3</v>
      </c>
      <c r="Z232">
        <v>2</v>
      </c>
      <c r="AA232">
        <v>1</v>
      </c>
      <c r="AB232">
        <v>11</v>
      </c>
      <c r="AC232">
        <v>6</v>
      </c>
      <c r="AD232">
        <v>3</v>
      </c>
      <c r="AE232">
        <v>9</v>
      </c>
      <c r="AF232">
        <v>0</v>
      </c>
      <c r="AG232">
        <v>1</v>
      </c>
      <c r="AH232">
        <v>5</v>
      </c>
    </row>
    <row r="233" spans="1:34" x14ac:dyDescent="0.35">
      <c r="A233" t="s">
        <v>293</v>
      </c>
      <c r="B233">
        <v>36</v>
      </c>
      <c r="C233" t="str">
        <f t="shared" si="3"/>
        <v>35-44</v>
      </c>
      <c r="D233" t="s">
        <v>35</v>
      </c>
      <c r="E233" t="s">
        <v>36</v>
      </c>
      <c r="F233" t="s">
        <v>54</v>
      </c>
      <c r="G233">
        <v>1395</v>
      </c>
      <c r="H233" t="s">
        <v>38</v>
      </c>
      <c r="I233">
        <v>12</v>
      </c>
      <c r="J233">
        <v>3</v>
      </c>
      <c r="K233" t="s">
        <v>47</v>
      </c>
      <c r="L233">
        <v>3</v>
      </c>
      <c r="M233" t="s">
        <v>51</v>
      </c>
      <c r="N233">
        <v>72</v>
      </c>
      <c r="O233">
        <v>2</v>
      </c>
      <c r="P233">
        <v>1</v>
      </c>
      <c r="Q233" t="s">
        <v>55</v>
      </c>
      <c r="R233">
        <v>1</v>
      </c>
      <c r="S233" t="s">
        <v>49</v>
      </c>
      <c r="T233">
        <v>7248</v>
      </c>
      <c r="U233">
        <v>9283</v>
      </c>
      <c r="V233">
        <v>3</v>
      </c>
      <c r="W233" t="s">
        <v>43</v>
      </c>
      <c r="X233">
        <v>13</v>
      </c>
      <c r="Y233">
        <v>3</v>
      </c>
      <c r="Z233">
        <v>1</v>
      </c>
      <c r="AA233">
        <v>2</v>
      </c>
      <c r="AB233">
        <v>16</v>
      </c>
      <c r="AC233">
        <v>2</v>
      </c>
      <c r="AD233">
        <v>3</v>
      </c>
      <c r="AE233">
        <v>3</v>
      </c>
      <c r="AF233">
        <v>3</v>
      </c>
      <c r="AG233">
        <v>1</v>
      </c>
      <c r="AH233">
        <v>1</v>
      </c>
    </row>
    <row r="234" spans="1:34" x14ac:dyDescent="0.35">
      <c r="A234" t="s">
        <v>294</v>
      </c>
      <c r="B234">
        <v>49</v>
      </c>
      <c r="C234" t="str">
        <f t="shared" si="3"/>
        <v>45-54</v>
      </c>
      <c r="D234" t="s">
        <v>35</v>
      </c>
      <c r="E234" t="s">
        <v>36</v>
      </c>
      <c r="F234" t="s">
        <v>37</v>
      </c>
      <c r="G234">
        <v>751</v>
      </c>
      <c r="H234" t="s">
        <v>38</v>
      </c>
      <c r="I234">
        <v>4</v>
      </c>
      <c r="J234">
        <v>3</v>
      </c>
      <c r="K234" t="s">
        <v>64</v>
      </c>
      <c r="L234">
        <v>4</v>
      </c>
      <c r="M234" t="s">
        <v>51</v>
      </c>
      <c r="N234">
        <v>78</v>
      </c>
      <c r="O234">
        <v>3</v>
      </c>
      <c r="P234">
        <v>2</v>
      </c>
      <c r="Q234" t="s">
        <v>60</v>
      </c>
      <c r="R234">
        <v>1</v>
      </c>
      <c r="S234" t="s">
        <v>42</v>
      </c>
      <c r="T234">
        <v>8513</v>
      </c>
      <c r="U234">
        <v>23213</v>
      </c>
      <c r="V234">
        <v>2</v>
      </c>
      <c r="W234" t="s">
        <v>43</v>
      </c>
      <c r="X234">
        <v>11</v>
      </c>
      <c r="Y234">
        <v>4</v>
      </c>
      <c r="Z234">
        <v>1</v>
      </c>
      <c r="AA234">
        <v>1</v>
      </c>
      <c r="AB234">
        <v>26</v>
      </c>
      <c r="AC234">
        <v>5</v>
      </c>
      <c r="AD234">
        <v>3</v>
      </c>
      <c r="AE234">
        <v>8</v>
      </c>
      <c r="AF234">
        <v>2</v>
      </c>
      <c r="AG234">
        <v>0</v>
      </c>
      <c r="AH234">
        <v>0</v>
      </c>
    </row>
    <row r="235" spans="1:34" x14ac:dyDescent="0.35">
      <c r="A235" t="s">
        <v>295</v>
      </c>
      <c r="B235">
        <v>38</v>
      </c>
      <c r="C235" t="str">
        <f t="shared" si="3"/>
        <v>35-44</v>
      </c>
      <c r="D235" t="s">
        <v>35</v>
      </c>
      <c r="E235" t="s">
        <v>36</v>
      </c>
      <c r="F235" t="s">
        <v>54</v>
      </c>
      <c r="G235">
        <v>707</v>
      </c>
      <c r="H235" t="s">
        <v>38</v>
      </c>
      <c r="I235">
        <v>1</v>
      </c>
      <c r="J235">
        <v>3</v>
      </c>
      <c r="K235" t="s">
        <v>69</v>
      </c>
      <c r="L235">
        <v>1</v>
      </c>
      <c r="M235" t="s">
        <v>40</v>
      </c>
      <c r="N235">
        <v>55</v>
      </c>
      <c r="O235">
        <v>3</v>
      </c>
      <c r="P235">
        <v>1</v>
      </c>
      <c r="Q235" t="s">
        <v>48</v>
      </c>
      <c r="R235">
        <v>4</v>
      </c>
      <c r="S235" t="s">
        <v>56</v>
      </c>
      <c r="T235">
        <v>4863</v>
      </c>
      <c r="U235">
        <v>26174</v>
      </c>
      <c r="V235">
        <v>5</v>
      </c>
      <c r="W235" t="s">
        <v>35</v>
      </c>
      <c r="X235">
        <v>11</v>
      </c>
      <c r="Y235">
        <v>4</v>
      </c>
      <c r="Z235">
        <v>1</v>
      </c>
      <c r="AA235">
        <v>0</v>
      </c>
      <c r="AB235">
        <v>16</v>
      </c>
      <c r="AC235">
        <v>3</v>
      </c>
      <c r="AD235">
        <v>2</v>
      </c>
      <c r="AE235">
        <v>0</v>
      </c>
      <c r="AF235">
        <v>0</v>
      </c>
      <c r="AG235">
        <v>0</v>
      </c>
      <c r="AH235">
        <v>0</v>
      </c>
    </row>
    <row r="236" spans="1:34" x14ac:dyDescent="0.35">
      <c r="A236" t="s">
        <v>296</v>
      </c>
      <c r="B236">
        <v>22</v>
      </c>
      <c r="C236" t="str">
        <f t="shared" si="3"/>
        <v>under 25</v>
      </c>
      <c r="D236" t="s">
        <v>43</v>
      </c>
      <c r="E236" t="s">
        <v>45</v>
      </c>
      <c r="F236" t="s">
        <v>37</v>
      </c>
      <c r="G236">
        <v>755</v>
      </c>
      <c r="H236" t="s">
        <v>38</v>
      </c>
      <c r="I236">
        <v>9</v>
      </c>
      <c r="J236">
        <v>2</v>
      </c>
      <c r="K236" t="s">
        <v>64</v>
      </c>
      <c r="L236">
        <v>3</v>
      </c>
      <c r="M236" t="s">
        <v>40</v>
      </c>
      <c r="N236">
        <v>37</v>
      </c>
      <c r="O236">
        <v>2</v>
      </c>
      <c r="P236">
        <v>1</v>
      </c>
      <c r="Q236" t="s">
        <v>62</v>
      </c>
      <c r="R236">
        <v>2</v>
      </c>
      <c r="S236" t="s">
        <v>49</v>
      </c>
      <c r="T236">
        <v>2657</v>
      </c>
      <c r="U236">
        <v>9644</v>
      </c>
      <c r="V236">
        <v>2</v>
      </c>
      <c r="W236" t="s">
        <v>35</v>
      </c>
      <c r="X236">
        <v>20</v>
      </c>
      <c r="Y236">
        <v>3</v>
      </c>
      <c r="Z236">
        <v>1</v>
      </c>
      <c r="AA236">
        <v>3</v>
      </c>
      <c r="AB236">
        <v>0</v>
      </c>
      <c r="AC236">
        <v>4</v>
      </c>
      <c r="AD236">
        <v>2</v>
      </c>
      <c r="AE236">
        <v>0</v>
      </c>
      <c r="AF236">
        <v>0</v>
      </c>
      <c r="AG236">
        <v>0</v>
      </c>
      <c r="AH236">
        <v>0</v>
      </c>
    </row>
    <row r="237" spans="1:34" x14ac:dyDescent="0.35">
      <c r="A237" t="s">
        <v>297</v>
      </c>
      <c r="B237">
        <v>39</v>
      </c>
      <c r="C237" t="str">
        <f t="shared" si="3"/>
        <v>35-44</v>
      </c>
      <c r="D237" t="s">
        <v>35</v>
      </c>
      <c r="E237" t="s">
        <v>36</v>
      </c>
      <c r="F237" t="s">
        <v>37</v>
      </c>
      <c r="G237">
        <v>576</v>
      </c>
      <c r="H237" t="s">
        <v>38</v>
      </c>
      <c r="I237">
        <v>21</v>
      </c>
      <c r="J237">
        <v>2</v>
      </c>
      <c r="K237" t="s">
        <v>69</v>
      </c>
      <c r="L237">
        <v>2</v>
      </c>
      <c r="M237" t="s">
        <v>51</v>
      </c>
      <c r="N237">
        <v>56</v>
      </c>
      <c r="O237">
        <v>3</v>
      </c>
      <c r="P237">
        <v>5</v>
      </c>
      <c r="Q237" t="s">
        <v>41</v>
      </c>
      <c r="R237">
        <v>2</v>
      </c>
      <c r="S237" t="s">
        <v>56</v>
      </c>
      <c r="T237">
        <v>12339</v>
      </c>
      <c r="U237">
        <v>26832</v>
      </c>
      <c r="V237">
        <v>2</v>
      </c>
      <c r="W237" t="s">
        <v>43</v>
      </c>
      <c r="X237">
        <v>11</v>
      </c>
      <c r="Y237">
        <v>3</v>
      </c>
      <c r="Z237">
        <v>4</v>
      </c>
      <c r="AA237">
        <v>3</v>
      </c>
      <c r="AB237">
        <v>15</v>
      </c>
      <c r="AC237">
        <v>3</v>
      </c>
      <c r="AD237">
        <v>2</v>
      </c>
      <c r="AE237">
        <v>15</v>
      </c>
      <c r="AF237">
        <v>3</v>
      </c>
      <c r="AG237">
        <v>2</v>
      </c>
      <c r="AH237">
        <v>0</v>
      </c>
    </row>
    <row r="238" spans="1:34" x14ac:dyDescent="0.35">
      <c r="A238" t="s">
        <v>298</v>
      </c>
      <c r="B238">
        <v>41</v>
      </c>
      <c r="C238" t="str">
        <f t="shared" si="3"/>
        <v>35-44</v>
      </c>
      <c r="D238" t="s">
        <v>35</v>
      </c>
      <c r="E238" t="s">
        <v>36</v>
      </c>
      <c r="F238" t="s">
        <v>37</v>
      </c>
      <c r="G238">
        <v>1068</v>
      </c>
      <c r="H238" t="s">
        <v>38</v>
      </c>
      <c r="I238">
        <v>24</v>
      </c>
      <c r="J238">
        <v>2</v>
      </c>
      <c r="K238" t="s">
        <v>47</v>
      </c>
      <c r="L238">
        <v>4</v>
      </c>
      <c r="M238" t="s">
        <v>51</v>
      </c>
      <c r="N238">
        <v>33</v>
      </c>
      <c r="O238">
        <v>3</v>
      </c>
      <c r="P238">
        <v>4</v>
      </c>
      <c r="Q238" t="s">
        <v>41</v>
      </c>
      <c r="R238">
        <v>3</v>
      </c>
      <c r="S238" t="s">
        <v>49</v>
      </c>
      <c r="T238">
        <v>10347</v>
      </c>
      <c r="U238">
        <v>25060</v>
      </c>
      <c r="V238">
        <v>1</v>
      </c>
      <c r="W238" t="s">
        <v>35</v>
      </c>
      <c r="X238">
        <v>15</v>
      </c>
      <c r="Y238">
        <v>3</v>
      </c>
      <c r="Z238">
        <v>2</v>
      </c>
      <c r="AA238">
        <v>1</v>
      </c>
      <c r="AB238">
        <v>16</v>
      </c>
      <c r="AC238">
        <v>2</v>
      </c>
      <c r="AD238">
        <v>2</v>
      </c>
      <c r="AE238">
        <v>15</v>
      </c>
      <c r="AF238">
        <v>1</v>
      </c>
      <c r="AG238">
        <v>3</v>
      </c>
      <c r="AH238">
        <v>1</v>
      </c>
    </row>
    <row r="239" spans="1:34" x14ac:dyDescent="0.35">
      <c r="A239" t="s">
        <v>299</v>
      </c>
      <c r="B239">
        <v>42</v>
      </c>
      <c r="C239" t="str">
        <f t="shared" si="3"/>
        <v>35-44</v>
      </c>
      <c r="D239" t="s">
        <v>43</v>
      </c>
      <c r="E239" t="s">
        <v>45</v>
      </c>
      <c r="F239" t="s">
        <v>54</v>
      </c>
      <c r="G239">
        <v>408</v>
      </c>
      <c r="H239" t="s">
        <v>38</v>
      </c>
      <c r="I239">
        <v>3</v>
      </c>
      <c r="J239">
        <v>3</v>
      </c>
      <c r="K239" t="s">
        <v>69</v>
      </c>
      <c r="L239">
        <v>2</v>
      </c>
      <c r="M239" t="s">
        <v>40</v>
      </c>
      <c r="N239">
        <v>81</v>
      </c>
      <c r="O239">
        <v>2</v>
      </c>
      <c r="P239">
        <v>1</v>
      </c>
      <c r="Q239" t="s">
        <v>41</v>
      </c>
      <c r="R239">
        <v>2</v>
      </c>
      <c r="S239" t="s">
        <v>49</v>
      </c>
      <c r="T239">
        <v>6443</v>
      </c>
      <c r="U239">
        <v>18702</v>
      </c>
      <c r="V239">
        <v>3</v>
      </c>
      <c r="W239" t="s">
        <v>43</v>
      </c>
      <c r="X239">
        <v>16</v>
      </c>
      <c r="Y239">
        <v>3</v>
      </c>
      <c r="Z239">
        <v>4</v>
      </c>
      <c r="AA239">
        <v>3</v>
      </c>
      <c r="AB239">
        <v>22</v>
      </c>
      <c r="AC239">
        <v>3</v>
      </c>
      <c r="AD239">
        <v>3</v>
      </c>
      <c r="AE239">
        <v>0</v>
      </c>
      <c r="AF239">
        <v>0</v>
      </c>
      <c r="AG239">
        <v>0</v>
      </c>
      <c r="AH239">
        <v>0</v>
      </c>
    </row>
    <row r="240" spans="1:34" x14ac:dyDescent="0.35">
      <c r="A240" t="s">
        <v>300</v>
      </c>
      <c r="B240">
        <v>47</v>
      </c>
      <c r="C240" t="str">
        <f t="shared" si="3"/>
        <v>45-54</v>
      </c>
      <c r="D240" t="s">
        <v>35</v>
      </c>
      <c r="E240" t="s">
        <v>36</v>
      </c>
      <c r="F240" t="s">
        <v>37</v>
      </c>
      <c r="G240">
        <v>912</v>
      </c>
      <c r="H240" t="s">
        <v>99</v>
      </c>
      <c r="I240">
        <v>1</v>
      </c>
      <c r="J240">
        <v>3</v>
      </c>
      <c r="K240" t="s">
        <v>64</v>
      </c>
      <c r="L240">
        <v>4</v>
      </c>
      <c r="M240" t="s">
        <v>40</v>
      </c>
      <c r="N240">
        <v>66</v>
      </c>
      <c r="O240">
        <v>3</v>
      </c>
      <c r="P240">
        <v>1</v>
      </c>
      <c r="Q240" t="s">
        <v>48</v>
      </c>
      <c r="R240">
        <v>4</v>
      </c>
      <c r="S240" t="s">
        <v>42</v>
      </c>
      <c r="T240">
        <v>7390</v>
      </c>
      <c r="U240">
        <v>23877</v>
      </c>
      <c r="V240">
        <v>3</v>
      </c>
      <c r="W240" t="s">
        <v>43</v>
      </c>
      <c r="X240">
        <v>18</v>
      </c>
      <c r="Y240">
        <v>3</v>
      </c>
      <c r="Z240">
        <v>4</v>
      </c>
      <c r="AA240">
        <v>0</v>
      </c>
      <c r="AB240">
        <v>22</v>
      </c>
      <c r="AC240">
        <v>0</v>
      </c>
      <c r="AD240">
        <v>3</v>
      </c>
      <c r="AE240">
        <v>0</v>
      </c>
      <c r="AF240">
        <v>0</v>
      </c>
      <c r="AG240">
        <v>0</v>
      </c>
      <c r="AH240">
        <v>0</v>
      </c>
    </row>
    <row r="241" spans="1:34" x14ac:dyDescent="0.35">
      <c r="A241" t="s">
        <v>301</v>
      </c>
      <c r="B241">
        <v>29</v>
      </c>
      <c r="C241" t="str">
        <f t="shared" si="3"/>
        <v>25-34</v>
      </c>
      <c r="D241" t="s">
        <v>35</v>
      </c>
      <c r="E241" t="s">
        <v>36</v>
      </c>
      <c r="F241" t="s">
        <v>37</v>
      </c>
      <c r="G241">
        <v>516</v>
      </c>
      <c r="H241" t="s">
        <v>46</v>
      </c>
      <c r="I241">
        <v>11</v>
      </c>
      <c r="J241">
        <v>5</v>
      </c>
      <c r="K241" t="s">
        <v>69</v>
      </c>
      <c r="L241">
        <v>3</v>
      </c>
      <c r="M241" t="s">
        <v>40</v>
      </c>
      <c r="N241">
        <v>67</v>
      </c>
      <c r="O241">
        <v>3</v>
      </c>
      <c r="P241">
        <v>1</v>
      </c>
      <c r="Q241" t="s">
        <v>80</v>
      </c>
      <c r="R241">
        <v>3</v>
      </c>
      <c r="S241" t="s">
        <v>56</v>
      </c>
      <c r="T241">
        <v>2649</v>
      </c>
      <c r="U241">
        <v>7247</v>
      </c>
      <c r="V241">
        <v>6</v>
      </c>
      <c r="W241" t="s">
        <v>35</v>
      </c>
      <c r="X241">
        <v>14</v>
      </c>
      <c r="Y241">
        <v>3</v>
      </c>
      <c r="Z241">
        <v>3</v>
      </c>
      <c r="AA241">
        <v>3</v>
      </c>
      <c r="AB241">
        <v>3</v>
      </c>
      <c r="AC241">
        <v>6</v>
      </c>
      <c r="AD241">
        <v>3</v>
      </c>
      <c r="AE241">
        <v>3</v>
      </c>
      <c r="AF241">
        <v>3</v>
      </c>
      <c r="AG241">
        <v>0</v>
      </c>
      <c r="AH241">
        <v>3</v>
      </c>
    </row>
    <row r="242" spans="1:34" x14ac:dyDescent="0.35">
      <c r="A242" t="s">
        <v>302</v>
      </c>
      <c r="B242">
        <v>36</v>
      </c>
      <c r="C242" t="str">
        <f t="shared" si="3"/>
        <v>35-44</v>
      </c>
      <c r="D242" t="s">
        <v>35</v>
      </c>
      <c r="E242" t="s">
        <v>36</v>
      </c>
      <c r="F242" t="s">
        <v>37</v>
      </c>
      <c r="G242">
        <v>125</v>
      </c>
      <c r="H242" t="s">
        <v>38</v>
      </c>
      <c r="I242">
        <v>4</v>
      </c>
      <c r="J242">
        <v>4</v>
      </c>
      <c r="K242" t="s">
        <v>39</v>
      </c>
      <c r="L242">
        <v>1</v>
      </c>
      <c r="M242" t="s">
        <v>40</v>
      </c>
      <c r="N242">
        <v>39</v>
      </c>
      <c r="O242">
        <v>1</v>
      </c>
      <c r="P242">
        <v>4</v>
      </c>
      <c r="Q242" t="s">
        <v>55</v>
      </c>
      <c r="R242">
        <v>4</v>
      </c>
      <c r="S242" t="s">
        <v>49</v>
      </c>
      <c r="T242">
        <v>10541</v>
      </c>
      <c r="U242">
        <v>18558</v>
      </c>
      <c r="V242">
        <v>3</v>
      </c>
      <c r="W242" t="s">
        <v>35</v>
      </c>
      <c r="X242">
        <v>15</v>
      </c>
      <c r="Y242">
        <v>3</v>
      </c>
      <c r="Z242">
        <v>3</v>
      </c>
      <c r="AA242">
        <v>1</v>
      </c>
      <c r="AB242">
        <v>15</v>
      </c>
      <c r="AC242">
        <v>1</v>
      </c>
      <c r="AD242">
        <v>2</v>
      </c>
      <c r="AE242">
        <v>15</v>
      </c>
      <c r="AF242">
        <v>1</v>
      </c>
      <c r="AG242">
        <v>7</v>
      </c>
      <c r="AH242">
        <v>0</v>
      </c>
    </row>
    <row r="243" spans="1:34" x14ac:dyDescent="0.35">
      <c r="A243" t="s">
        <v>303</v>
      </c>
      <c r="B243">
        <v>21</v>
      </c>
      <c r="C243" t="str">
        <f t="shared" si="3"/>
        <v>under 25</v>
      </c>
      <c r="D243" t="s">
        <v>35</v>
      </c>
      <c r="E243" t="s">
        <v>36</v>
      </c>
      <c r="F243" t="s">
        <v>37</v>
      </c>
      <c r="G243">
        <v>803</v>
      </c>
      <c r="H243" t="s">
        <v>38</v>
      </c>
      <c r="I243">
        <v>8</v>
      </c>
      <c r="J243">
        <v>3</v>
      </c>
      <c r="K243" t="s">
        <v>69</v>
      </c>
      <c r="L243">
        <v>2</v>
      </c>
      <c r="M243" t="s">
        <v>40</v>
      </c>
      <c r="N243">
        <v>69</v>
      </c>
      <c r="O243">
        <v>3</v>
      </c>
      <c r="P243">
        <v>1</v>
      </c>
      <c r="Q243" t="s">
        <v>48</v>
      </c>
      <c r="R243">
        <v>4</v>
      </c>
      <c r="S243" t="s">
        <v>42</v>
      </c>
      <c r="T243">
        <v>3828</v>
      </c>
      <c r="U243">
        <v>5809</v>
      </c>
      <c r="V243">
        <v>6</v>
      </c>
      <c r="W243" t="s">
        <v>35</v>
      </c>
      <c r="X243">
        <v>11</v>
      </c>
      <c r="Y243">
        <v>3</v>
      </c>
      <c r="Z243">
        <v>4</v>
      </c>
      <c r="AA243">
        <v>1</v>
      </c>
      <c r="AB243">
        <v>0</v>
      </c>
      <c r="AC243">
        <v>4</v>
      </c>
      <c r="AD243">
        <v>3</v>
      </c>
      <c r="AE243">
        <v>0</v>
      </c>
      <c r="AF243">
        <v>0</v>
      </c>
      <c r="AG243">
        <v>0</v>
      </c>
      <c r="AH243">
        <v>0</v>
      </c>
    </row>
    <row r="244" spans="1:34" x14ac:dyDescent="0.35">
      <c r="A244" t="s">
        <v>304</v>
      </c>
      <c r="B244">
        <v>26</v>
      </c>
      <c r="C244" t="str">
        <f t="shared" si="3"/>
        <v>25-34</v>
      </c>
      <c r="D244" t="s">
        <v>35</v>
      </c>
      <c r="E244" t="s">
        <v>36</v>
      </c>
      <c r="F244" t="s">
        <v>37</v>
      </c>
      <c r="G244">
        <v>626</v>
      </c>
      <c r="H244" t="s">
        <v>38</v>
      </c>
      <c r="I244">
        <v>5</v>
      </c>
      <c r="J244">
        <v>4</v>
      </c>
      <c r="K244" t="s">
        <v>47</v>
      </c>
      <c r="L244">
        <v>1</v>
      </c>
      <c r="M244" t="s">
        <v>51</v>
      </c>
      <c r="N244">
        <v>31</v>
      </c>
      <c r="O244">
        <v>2</v>
      </c>
      <c r="P244">
        <v>2</v>
      </c>
      <c r="Q244" t="s">
        <v>62</v>
      </c>
      <c r="R244">
        <v>3</v>
      </c>
      <c r="S244" t="s">
        <v>49</v>
      </c>
      <c r="T244">
        <v>5625</v>
      </c>
      <c r="U244">
        <v>17932</v>
      </c>
      <c r="V244">
        <v>1</v>
      </c>
      <c r="W244" t="s">
        <v>35</v>
      </c>
      <c r="X244">
        <v>12</v>
      </c>
      <c r="Y244">
        <v>3</v>
      </c>
      <c r="Z244">
        <v>2</v>
      </c>
      <c r="AA244">
        <v>1</v>
      </c>
      <c r="AB244">
        <v>5</v>
      </c>
      <c r="AC244">
        <v>2</v>
      </c>
      <c r="AD244">
        <v>2</v>
      </c>
      <c r="AE244">
        <v>5</v>
      </c>
      <c r="AF244">
        <v>0</v>
      </c>
      <c r="AG244">
        <v>1</v>
      </c>
      <c r="AH244">
        <v>1</v>
      </c>
    </row>
    <row r="245" spans="1:34" x14ac:dyDescent="0.35">
      <c r="A245" t="s">
        <v>305</v>
      </c>
      <c r="B245">
        <v>51</v>
      </c>
      <c r="C245" t="str">
        <f t="shared" si="3"/>
        <v>45-54</v>
      </c>
      <c r="D245" t="s">
        <v>35</v>
      </c>
      <c r="E245" t="s">
        <v>36</v>
      </c>
      <c r="F245" t="s">
        <v>37</v>
      </c>
      <c r="G245">
        <v>1384</v>
      </c>
      <c r="H245" t="s">
        <v>46</v>
      </c>
      <c r="I245">
        <v>7</v>
      </c>
      <c r="J245">
        <v>2</v>
      </c>
      <c r="K245" t="s">
        <v>103</v>
      </c>
      <c r="L245">
        <v>3</v>
      </c>
      <c r="M245" t="s">
        <v>40</v>
      </c>
      <c r="N245">
        <v>75</v>
      </c>
      <c r="O245">
        <v>2</v>
      </c>
      <c r="P245">
        <v>1</v>
      </c>
      <c r="Q245" t="s">
        <v>48</v>
      </c>
      <c r="R245">
        <v>1</v>
      </c>
      <c r="S245" t="s">
        <v>56</v>
      </c>
      <c r="T245">
        <v>5467</v>
      </c>
      <c r="U245">
        <v>6327</v>
      </c>
      <c r="V245">
        <v>3</v>
      </c>
      <c r="W245" t="s">
        <v>35</v>
      </c>
      <c r="X245">
        <v>19</v>
      </c>
      <c r="Y245">
        <v>3</v>
      </c>
      <c r="Z245">
        <v>1</v>
      </c>
      <c r="AA245">
        <v>2</v>
      </c>
      <c r="AB245">
        <v>27</v>
      </c>
      <c r="AC245">
        <v>3</v>
      </c>
      <c r="AD245">
        <v>2</v>
      </c>
      <c r="AE245">
        <v>0</v>
      </c>
      <c r="AF245">
        <v>0</v>
      </c>
      <c r="AG245">
        <v>0</v>
      </c>
      <c r="AH245">
        <v>0</v>
      </c>
    </row>
    <row r="246" spans="1:34" x14ac:dyDescent="0.35">
      <c r="A246" t="s">
        <v>306</v>
      </c>
      <c r="B246">
        <v>24</v>
      </c>
      <c r="C246" t="str">
        <f t="shared" si="3"/>
        <v>under 25</v>
      </c>
      <c r="D246" t="s">
        <v>35</v>
      </c>
      <c r="E246" t="s">
        <v>36</v>
      </c>
      <c r="F246" t="s">
        <v>37</v>
      </c>
      <c r="G246">
        <v>1322</v>
      </c>
      <c r="H246" t="s">
        <v>38</v>
      </c>
      <c r="I246">
        <v>11</v>
      </c>
      <c r="J246">
        <v>2</v>
      </c>
      <c r="K246" t="s">
        <v>64</v>
      </c>
      <c r="L246">
        <v>4</v>
      </c>
      <c r="M246" t="s">
        <v>40</v>
      </c>
      <c r="N246">
        <v>56</v>
      </c>
      <c r="O246">
        <v>2</v>
      </c>
      <c r="P246">
        <v>1</v>
      </c>
      <c r="Q246" t="s">
        <v>60</v>
      </c>
      <c r="R246">
        <v>1</v>
      </c>
      <c r="S246" t="s">
        <v>49</v>
      </c>
      <c r="T246">
        <v>4204</v>
      </c>
      <c r="U246">
        <v>17531</v>
      </c>
      <c r="V246">
        <v>2</v>
      </c>
      <c r="W246" t="s">
        <v>35</v>
      </c>
      <c r="X246">
        <v>11</v>
      </c>
      <c r="Y246">
        <v>3</v>
      </c>
      <c r="Z246">
        <v>1</v>
      </c>
      <c r="AA246">
        <v>1</v>
      </c>
      <c r="AB246">
        <v>0</v>
      </c>
      <c r="AC246">
        <v>4</v>
      </c>
      <c r="AD246">
        <v>3</v>
      </c>
      <c r="AE246">
        <v>0</v>
      </c>
      <c r="AF246">
        <v>0</v>
      </c>
      <c r="AG246">
        <v>0</v>
      </c>
      <c r="AH246">
        <v>0</v>
      </c>
    </row>
    <row r="247" spans="1:34" x14ac:dyDescent="0.35">
      <c r="A247" t="s">
        <v>307</v>
      </c>
      <c r="B247">
        <v>28</v>
      </c>
      <c r="C247" t="str">
        <f t="shared" si="3"/>
        <v>25-34</v>
      </c>
      <c r="D247" t="s">
        <v>35</v>
      </c>
      <c r="E247" t="s">
        <v>36</v>
      </c>
      <c r="F247" t="s">
        <v>59</v>
      </c>
      <c r="G247">
        <v>220</v>
      </c>
      <c r="H247" t="s">
        <v>38</v>
      </c>
      <c r="I247">
        <v>5</v>
      </c>
      <c r="J247">
        <v>1</v>
      </c>
      <c r="K247" t="s">
        <v>47</v>
      </c>
      <c r="L247">
        <v>3</v>
      </c>
      <c r="M247" t="s">
        <v>51</v>
      </c>
      <c r="N247">
        <v>61</v>
      </c>
      <c r="O247">
        <v>2</v>
      </c>
      <c r="P247">
        <v>1</v>
      </c>
      <c r="Q247" t="s">
        <v>52</v>
      </c>
      <c r="R247">
        <v>4</v>
      </c>
      <c r="S247" t="s">
        <v>49</v>
      </c>
      <c r="T247">
        <v>4165</v>
      </c>
      <c r="U247">
        <v>23140</v>
      </c>
      <c r="V247">
        <v>3</v>
      </c>
      <c r="W247" t="s">
        <v>35</v>
      </c>
      <c r="X247">
        <v>16</v>
      </c>
      <c r="Y247">
        <v>4</v>
      </c>
      <c r="Z247">
        <v>3</v>
      </c>
      <c r="AA247">
        <v>0</v>
      </c>
      <c r="AB247">
        <v>2</v>
      </c>
      <c r="AC247">
        <v>2</v>
      </c>
      <c r="AD247">
        <v>3</v>
      </c>
      <c r="AE247">
        <v>2</v>
      </c>
      <c r="AF247">
        <v>2</v>
      </c>
      <c r="AG247">
        <v>0</v>
      </c>
      <c r="AH247">
        <v>2</v>
      </c>
    </row>
    <row r="248" spans="1:34" x14ac:dyDescent="0.35">
      <c r="A248" t="s">
        <v>308</v>
      </c>
      <c r="B248">
        <v>41</v>
      </c>
      <c r="C248" t="str">
        <f t="shared" si="3"/>
        <v>35-44</v>
      </c>
      <c r="D248" t="s">
        <v>35</v>
      </c>
      <c r="E248" t="s">
        <v>36</v>
      </c>
      <c r="F248" t="s">
        <v>37</v>
      </c>
      <c r="G248">
        <v>475</v>
      </c>
      <c r="H248" t="s">
        <v>38</v>
      </c>
      <c r="I248">
        <v>8</v>
      </c>
      <c r="J248">
        <v>4</v>
      </c>
      <c r="K248" t="s">
        <v>69</v>
      </c>
      <c r="L248">
        <v>4</v>
      </c>
      <c r="M248" t="s">
        <v>51</v>
      </c>
      <c r="N248">
        <v>35</v>
      </c>
      <c r="O248">
        <v>1</v>
      </c>
      <c r="P248">
        <v>2</v>
      </c>
      <c r="Q248" t="s">
        <v>48</v>
      </c>
      <c r="R248">
        <v>2</v>
      </c>
      <c r="S248" t="s">
        <v>42</v>
      </c>
      <c r="T248">
        <v>5626</v>
      </c>
      <c r="U248">
        <v>21051</v>
      </c>
      <c r="V248">
        <v>3</v>
      </c>
      <c r="W248" t="s">
        <v>35</v>
      </c>
      <c r="X248">
        <v>17</v>
      </c>
      <c r="Y248">
        <v>3</v>
      </c>
      <c r="Z248">
        <v>3</v>
      </c>
      <c r="AA248">
        <v>0</v>
      </c>
      <c r="AB248">
        <v>20</v>
      </c>
      <c r="AC248">
        <v>2</v>
      </c>
      <c r="AD248">
        <v>3</v>
      </c>
      <c r="AE248">
        <v>7</v>
      </c>
      <c r="AF248">
        <v>0</v>
      </c>
      <c r="AG248">
        <v>0</v>
      </c>
      <c r="AH248">
        <v>7</v>
      </c>
    </row>
    <row r="249" spans="1:34" x14ac:dyDescent="0.35">
      <c r="A249" t="s">
        <v>309</v>
      </c>
      <c r="B249">
        <v>41</v>
      </c>
      <c r="C249" t="str">
        <f t="shared" si="3"/>
        <v>35-44</v>
      </c>
      <c r="D249" t="s">
        <v>35</v>
      </c>
      <c r="E249" t="s">
        <v>36</v>
      </c>
      <c r="F249" t="s">
        <v>37</v>
      </c>
      <c r="G249">
        <v>124</v>
      </c>
      <c r="H249" t="s">
        <v>38</v>
      </c>
      <c r="I249">
        <v>4</v>
      </c>
      <c r="J249">
        <v>2</v>
      </c>
      <c r="K249" t="s">
        <v>47</v>
      </c>
      <c r="L249">
        <v>4</v>
      </c>
      <c r="M249" t="s">
        <v>51</v>
      </c>
      <c r="N249">
        <v>45</v>
      </c>
      <c r="O249">
        <v>3</v>
      </c>
      <c r="P249">
        <v>1</v>
      </c>
      <c r="Q249" t="s">
        <v>60</v>
      </c>
      <c r="R249">
        <v>3</v>
      </c>
      <c r="S249" t="s">
        <v>49</v>
      </c>
      <c r="T249">
        <v>5238</v>
      </c>
      <c r="U249">
        <v>7624</v>
      </c>
      <c r="V249">
        <v>4</v>
      </c>
      <c r="W249" t="s">
        <v>35</v>
      </c>
      <c r="X249">
        <v>15</v>
      </c>
      <c r="Y249">
        <v>3</v>
      </c>
      <c r="Z249">
        <v>2</v>
      </c>
      <c r="AA249">
        <v>0</v>
      </c>
      <c r="AB249">
        <v>14</v>
      </c>
      <c r="AC249">
        <v>2</v>
      </c>
      <c r="AD249">
        <v>2</v>
      </c>
      <c r="AE249">
        <v>1</v>
      </c>
      <c r="AF249">
        <v>0</v>
      </c>
      <c r="AG249">
        <v>1</v>
      </c>
      <c r="AH249">
        <v>0</v>
      </c>
    </row>
    <row r="250" spans="1:34" x14ac:dyDescent="0.35">
      <c r="A250" t="s">
        <v>310</v>
      </c>
      <c r="B250">
        <v>22</v>
      </c>
      <c r="C250" t="str">
        <f t="shared" si="3"/>
        <v>under 25</v>
      </c>
      <c r="D250" t="s">
        <v>35</v>
      </c>
      <c r="E250" t="s">
        <v>36</v>
      </c>
      <c r="F250" t="s">
        <v>54</v>
      </c>
      <c r="G250">
        <v>1293</v>
      </c>
      <c r="H250" t="s">
        <v>46</v>
      </c>
      <c r="I250">
        <v>2</v>
      </c>
      <c r="J250">
        <v>4</v>
      </c>
      <c r="K250" t="s">
        <v>64</v>
      </c>
      <c r="L250">
        <v>4</v>
      </c>
      <c r="M250" t="s">
        <v>40</v>
      </c>
      <c r="N250">
        <v>34</v>
      </c>
      <c r="O250">
        <v>3</v>
      </c>
      <c r="P250">
        <v>1</v>
      </c>
      <c r="Q250" t="s">
        <v>80</v>
      </c>
      <c r="R250">
        <v>3</v>
      </c>
      <c r="S250" t="s">
        <v>49</v>
      </c>
      <c r="T250">
        <v>2655</v>
      </c>
      <c r="U250">
        <v>17025</v>
      </c>
      <c r="V250">
        <v>3</v>
      </c>
      <c r="W250" t="s">
        <v>35</v>
      </c>
      <c r="X250">
        <v>11</v>
      </c>
      <c r="Y250">
        <v>3</v>
      </c>
      <c r="Z250">
        <v>2</v>
      </c>
      <c r="AA250">
        <v>0</v>
      </c>
      <c r="AB250">
        <v>0</v>
      </c>
      <c r="AC250">
        <v>4</v>
      </c>
      <c r="AD250">
        <v>3</v>
      </c>
      <c r="AE250">
        <v>0</v>
      </c>
      <c r="AF250">
        <v>0</v>
      </c>
      <c r="AG250">
        <v>0</v>
      </c>
      <c r="AH250">
        <v>0</v>
      </c>
    </row>
    <row r="251" spans="1:34" x14ac:dyDescent="0.35">
      <c r="A251" t="s">
        <v>311</v>
      </c>
      <c r="B251">
        <v>41</v>
      </c>
      <c r="C251" t="str">
        <f t="shared" si="3"/>
        <v>35-44</v>
      </c>
      <c r="D251" t="s">
        <v>35</v>
      </c>
      <c r="E251" t="s">
        <v>36</v>
      </c>
      <c r="F251" t="s">
        <v>37</v>
      </c>
      <c r="G251">
        <v>418</v>
      </c>
      <c r="H251" t="s">
        <v>38</v>
      </c>
      <c r="I251">
        <v>11</v>
      </c>
      <c r="J251">
        <v>2</v>
      </c>
      <c r="K251" t="s">
        <v>64</v>
      </c>
      <c r="L251">
        <v>2</v>
      </c>
      <c r="M251" t="s">
        <v>51</v>
      </c>
      <c r="N251">
        <v>82</v>
      </c>
      <c r="O251">
        <v>3</v>
      </c>
      <c r="P251">
        <v>2</v>
      </c>
      <c r="Q251" t="s">
        <v>41</v>
      </c>
      <c r="R251">
        <v>3</v>
      </c>
      <c r="S251" t="s">
        <v>49</v>
      </c>
      <c r="T251">
        <v>9063</v>
      </c>
      <c r="U251">
        <v>16164</v>
      </c>
      <c r="V251">
        <v>5</v>
      </c>
      <c r="W251" t="s">
        <v>35</v>
      </c>
      <c r="X251">
        <v>18</v>
      </c>
      <c r="Y251">
        <v>3</v>
      </c>
      <c r="Z251">
        <v>4</v>
      </c>
      <c r="AA251">
        <v>2</v>
      </c>
      <c r="AB251">
        <v>17</v>
      </c>
      <c r="AC251">
        <v>2</v>
      </c>
      <c r="AD251">
        <v>3</v>
      </c>
      <c r="AE251">
        <v>8</v>
      </c>
      <c r="AF251">
        <v>1</v>
      </c>
      <c r="AG251">
        <v>1</v>
      </c>
      <c r="AH251">
        <v>1</v>
      </c>
    </row>
    <row r="252" spans="1:34" x14ac:dyDescent="0.35">
      <c r="A252" t="s">
        <v>312</v>
      </c>
      <c r="B252">
        <v>36</v>
      </c>
      <c r="C252" t="str">
        <f t="shared" si="3"/>
        <v>35-44</v>
      </c>
      <c r="D252" t="s">
        <v>35</v>
      </c>
      <c r="E252" t="s">
        <v>36</v>
      </c>
      <c r="F252" t="s">
        <v>37</v>
      </c>
      <c r="G252">
        <v>1185</v>
      </c>
      <c r="H252" t="s">
        <v>46</v>
      </c>
      <c r="I252">
        <v>7</v>
      </c>
      <c r="J252">
        <v>4</v>
      </c>
      <c r="K252" t="s">
        <v>47</v>
      </c>
      <c r="L252">
        <v>1</v>
      </c>
      <c r="M252" t="s">
        <v>51</v>
      </c>
      <c r="N252">
        <v>36</v>
      </c>
      <c r="O252">
        <v>2</v>
      </c>
      <c r="P252">
        <v>2</v>
      </c>
      <c r="Q252" t="s">
        <v>80</v>
      </c>
      <c r="R252">
        <v>4</v>
      </c>
      <c r="S252" t="s">
        <v>56</v>
      </c>
      <c r="T252">
        <v>7044</v>
      </c>
      <c r="U252">
        <v>10303</v>
      </c>
      <c r="V252">
        <v>1</v>
      </c>
      <c r="W252" t="s">
        <v>35</v>
      </c>
      <c r="X252">
        <v>18</v>
      </c>
      <c r="Y252">
        <v>3</v>
      </c>
      <c r="Z252">
        <v>4</v>
      </c>
      <c r="AA252">
        <v>0</v>
      </c>
      <c r="AB252">
        <v>15</v>
      </c>
      <c r="AC252">
        <v>4</v>
      </c>
      <c r="AD252">
        <v>2</v>
      </c>
      <c r="AE252">
        <v>5</v>
      </c>
      <c r="AF252">
        <v>1</v>
      </c>
      <c r="AG252">
        <v>2</v>
      </c>
      <c r="AH252">
        <v>4</v>
      </c>
    </row>
    <row r="253" spans="1:34" x14ac:dyDescent="0.35">
      <c r="A253" t="s">
        <v>313</v>
      </c>
      <c r="B253">
        <v>60</v>
      </c>
      <c r="C253" t="str">
        <f t="shared" si="3"/>
        <v>55+</v>
      </c>
      <c r="D253" t="s">
        <v>35</v>
      </c>
      <c r="E253" t="s">
        <v>36</v>
      </c>
      <c r="F253" t="s">
        <v>59</v>
      </c>
      <c r="G253">
        <v>1264</v>
      </c>
      <c r="H253" t="s">
        <v>46</v>
      </c>
      <c r="I253">
        <v>1</v>
      </c>
      <c r="J253">
        <v>3</v>
      </c>
      <c r="K253" t="s">
        <v>69</v>
      </c>
      <c r="L253">
        <v>4</v>
      </c>
      <c r="M253" t="s">
        <v>40</v>
      </c>
      <c r="N253">
        <v>76</v>
      </c>
      <c r="O253">
        <v>2</v>
      </c>
      <c r="P253">
        <v>3</v>
      </c>
      <c r="Q253" t="s">
        <v>80</v>
      </c>
      <c r="R253">
        <v>4</v>
      </c>
      <c r="S253" t="s">
        <v>56</v>
      </c>
      <c r="T253">
        <v>11012</v>
      </c>
      <c r="U253">
        <v>5066</v>
      </c>
      <c r="V253">
        <v>6</v>
      </c>
      <c r="W253" t="s">
        <v>35</v>
      </c>
      <c r="X253">
        <v>13</v>
      </c>
      <c r="Y253">
        <v>3</v>
      </c>
      <c r="Z253">
        <v>4</v>
      </c>
      <c r="AA253">
        <v>0</v>
      </c>
      <c r="AB253">
        <v>34</v>
      </c>
      <c r="AC253">
        <v>4</v>
      </c>
      <c r="AD253">
        <v>2</v>
      </c>
      <c r="AE253">
        <v>10</v>
      </c>
      <c r="AF253">
        <v>10</v>
      </c>
      <c r="AG253">
        <v>0</v>
      </c>
      <c r="AH253">
        <v>1</v>
      </c>
    </row>
    <row r="254" spans="1:34" x14ac:dyDescent="0.35">
      <c r="A254" t="s">
        <v>314</v>
      </c>
      <c r="B254">
        <v>34</v>
      </c>
      <c r="C254" t="str">
        <f t="shared" si="3"/>
        <v>25-34</v>
      </c>
      <c r="D254" t="s">
        <v>35</v>
      </c>
      <c r="E254" t="s">
        <v>36</v>
      </c>
      <c r="F254" t="s">
        <v>37</v>
      </c>
      <c r="G254">
        <v>1474</v>
      </c>
      <c r="H254" t="s">
        <v>38</v>
      </c>
      <c r="I254">
        <v>1</v>
      </c>
      <c r="J254">
        <v>3</v>
      </c>
      <c r="K254" t="s">
        <v>47</v>
      </c>
      <c r="L254">
        <v>4</v>
      </c>
      <c r="M254" t="s">
        <v>51</v>
      </c>
      <c r="N254">
        <v>68</v>
      </c>
      <c r="O254">
        <v>3</v>
      </c>
      <c r="P254">
        <v>2</v>
      </c>
      <c r="Q254" t="s">
        <v>60</v>
      </c>
      <c r="R254">
        <v>4</v>
      </c>
      <c r="S254" t="s">
        <v>42</v>
      </c>
      <c r="T254">
        <v>7522</v>
      </c>
      <c r="U254">
        <v>5881</v>
      </c>
      <c r="V254">
        <v>1</v>
      </c>
      <c r="W254" t="s">
        <v>35</v>
      </c>
      <c r="X254">
        <v>11</v>
      </c>
      <c r="Y254">
        <v>3</v>
      </c>
      <c r="Z254">
        <v>2</v>
      </c>
      <c r="AA254">
        <v>0</v>
      </c>
      <c r="AB254">
        <v>9</v>
      </c>
      <c r="AC254">
        <v>4</v>
      </c>
      <c r="AD254">
        <v>1</v>
      </c>
      <c r="AE254">
        <v>4</v>
      </c>
      <c r="AF254">
        <v>3</v>
      </c>
      <c r="AG254">
        <v>1</v>
      </c>
      <c r="AH254">
        <v>4</v>
      </c>
    </row>
    <row r="255" spans="1:34" x14ac:dyDescent="0.35">
      <c r="A255" t="s">
        <v>315</v>
      </c>
      <c r="B255">
        <v>36</v>
      </c>
      <c r="C255" t="str">
        <f t="shared" si="3"/>
        <v>35-44</v>
      </c>
      <c r="D255" t="s">
        <v>35</v>
      </c>
      <c r="E255" t="s">
        <v>36</v>
      </c>
      <c r="F255" t="s">
        <v>37</v>
      </c>
      <c r="G255">
        <v>1483</v>
      </c>
      <c r="H255" t="s">
        <v>38</v>
      </c>
      <c r="I255">
        <v>4</v>
      </c>
      <c r="J255">
        <v>5</v>
      </c>
      <c r="K255" t="s">
        <v>39</v>
      </c>
      <c r="L255">
        <v>3</v>
      </c>
      <c r="M255" t="s">
        <v>51</v>
      </c>
      <c r="N255">
        <v>89</v>
      </c>
      <c r="O255">
        <v>2</v>
      </c>
      <c r="P255">
        <v>2</v>
      </c>
      <c r="Q255" t="s">
        <v>55</v>
      </c>
      <c r="R255">
        <v>3</v>
      </c>
      <c r="S255" t="s">
        <v>56</v>
      </c>
      <c r="T255">
        <v>6832</v>
      </c>
      <c r="U255">
        <v>4249</v>
      </c>
      <c r="V255">
        <v>4</v>
      </c>
      <c r="W255" t="s">
        <v>35</v>
      </c>
      <c r="X255">
        <v>11</v>
      </c>
      <c r="Y255">
        <v>3</v>
      </c>
      <c r="Z255">
        <v>3</v>
      </c>
      <c r="AA255">
        <v>0</v>
      </c>
      <c r="AB255">
        <v>15</v>
      </c>
      <c r="AC255">
        <v>4</v>
      </c>
      <c r="AD255">
        <v>3</v>
      </c>
      <c r="AE255">
        <v>5</v>
      </c>
      <c r="AF255">
        <v>3</v>
      </c>
      <c r="AG255">
        <v>5</v>
      </c>
      <c r="AH255">
        <v>0</v>
      </c>
    </row>
    <row r="256" spans="1:34" x14ac:dyDescent="0.35">
      <c r="A256" t="s">
        <v>316</v>
      </c>
      <c r="B256">
        <v>51</v>
      </c>
      <c r="C256" t="str">
        <f t="shared" si="3"/>
        <v>45-54</v>
      </c>
      <c r="D256" t="s">
        <v>43</v>
      </c>
      <c r="E256" t="s">
        <v>45</v>
      </c>
      <c r="F256" t="s">
        <v>37</v>
      </c>
      <c r="G256">
        <v>1010</v>
      </c>
      <c r="H256" t="s">
        <v>46</v>
      </c>
      <c r="I256">
        <v>3</v>
      </c>
      <c r="J256">
        <v>4</v>
      </c>
      <c r="K256" t="s">
        <v>69</v>
      </c>
      <c r="L256">
        <v>3</v>
      </c>
      <c r="M256" t="s">
        <v>40</v>
      </c>
      <c r="N256">
        <v>80</v>
      </c>
      <c r="O256">
        <v>3</v>
      </c>
      <c r="P256">
        <v>5</v>
      </c>
      <c r="Q256" t="s">
        <v>65</v>
      </c>
      <c r="R256">
        <v>1</v>
      </c>
      <c r="S256" t="s">
        <v>56</v>
      </c>
      <c r="T256">
        <v>13176</v>
      </c>
      <c r="U256">
        <v>24959</v>
      </c>
      <c r="V256">
        <v>2</v>
      </c>
      <c r="W256" t="s">
        <v>35</v>
      </c>
      <c r="X256">
        <v>12</v>
      </c>
      <c r="Y256">
        <v>3</v>
      </c>
      <c r="Z256">
        <v>3</v>
      </c>
      <c r="AA256">
        <v>1</v>
      </c>
      <c r="AB256">
        <v>31</v>
      </c>
      <c r="AC256">
        <v>0</v>
      </c>
      <c r="AD256">
        <v>3</v>
      </c>
      <c r="AE256">
        <v>19</v>
      </c>
      <c r="AF256">
        <v>5</v>
      </c>
      <c r="AG256">
        <v>3</v>
      </c>
      <c r="AH256">
        <v>0</v>
      </c>
    </row>
    <row r="257" spans="1:34" x14ac:dyDescent="0.35">
      <c r="A257" t="s">
        <v>317</v>
      </c>
      <c r="B257">
        <v>43</v>
      </c>
      <c r="C257" t="str">
        <f t="shared" si="3"/>
        <v>35-44</v>
      </c>
      <c r="D257" t="s">
        <v>35</v>
      </c>
      <c r="E257" t="s">
        <v>36</v>
      </c>
      <c r="F257" t="s">
        <v>37</v>
      </c>
      <c r="G257">
        <v>267</v>
      </c>
      <c r="H257" t="s">
        <v>38</v>
      </c>
      <c r="I257">
        <v>21</v>
      </c>
      <c r="J257">
        <v>3</v>
      </c>
      <c r="K257" t="s">
        <v>64</v>
      </c>
      <c r="L257">
        <v>3</v>
      </c>
      <c r="M257" t="s">
        <v>51</v>
      </c>
      <c r="N257">
        <v>83</v>
      </c>
      <c r="O257">
        <v>2</v>
      </c>
      <c r="P257">
        <v>1</v>
      </c>
      <c r="Q257" t="s">
        <v>52</v>
      </c>
      <c r="R257">
        <v>3</v>
      </c>
      <c r="S257" t="s">
        <v>49</v>
      </c>
      <c r="T257">
        <v>6866</v>
      </c>
      <c r="U257">
        <v>23100</v>
      </c>
      <c r="V257">
        <v>3</v>
      </c>
      <c r="W257" t="s">
        <v>43</v>
      </c>
      <c r="X257">
        <v>15</v>
      </c>
      <c r="Y257">
        <v>3</v>
      </c>
      <c r="Z257">
        <v>3</v>
      </c>
      <c r="AA257">
        <v>1</v>
      </c>
      <c r="AB257">
        <v>24</v>
      </c>
      <c r="AC257">
        <v>3</v>
      </c>
      <c r="AD257">
        <v>2</v>
      </c>
      <c r="AE257">
        <v>0</v>
      </c>
      <c r="AF257">
        <v>0</v>
      </c>
      <c r="AG257">
        <v>0</v>
      </c>
      <c r="AH257">
        <v>0</v>
      </c>
    </row>
    <row r="258" spans="1:34" x14ac:dyDescent="0.35">
      <c r="A258" t="s">
        <v>318</v>
      </c>
      <c r="B258">
        <v>32</v>
      </c>
      <c r="C258" t="str">
        <f t="shared" si="3"/>
        <v>25-34</v>
      </c>
      <c r="D258" t="s">
        <v>35</v>
      </c>
      <c r="E258" t="s">
        <v>36</v>
      </c>
      <c r="F258" t="s">
        <v>37</v>
      </c>
      <c r="G258">
        <v>378</v>
      </c>
      <c r="H258" t="s">
        <v>46</v>
      </c>
      <c r="I258">
        <v>1</v>
      </c>
      <c r="J258">
        <v>3</v>
      </c>
      <c r="K258" t="s">
        <v>47</v>
      </c>
      <c r="L258">
        <v>3</v>
      </c>
      <c r="M258" t="s">
        <v>51</v>
      </c>
      <c r="N258">
        <v>58</v>
      </c>
      <c r="O258">
        <v>3</v>
      </c>
      <c r="P258">
        <v>3</v>
      </c>
      <c r="Q258" t="s">
        <v>48</v>
      </c>
      <c r="R258">
        <v>2</v>
      </c>
      <c r="S258" t="s">
        <v>49</v>
      </c>
      <c r="T258">
        <v>8041</v>
      </c>
      <c r="U258">
        <v>8574</v>
      </c>
      <c r="V258">
        <v>2</v>
      </c>
      <c r="W258" t="s">
        <v>35</v>
      </c>
      <c r="X258">
        <v>19</v>
      </c>
      <c r="Y258">
        <v>3</v>
      </c>
      <c r="Z258">
        <v>1</v>
      </c>
      <c r="AA258">
        <v>2</v>
      </c>
      <c r="AB258">
        <v>10</v>
      </c>
      <c r="AC258">
        <v>4</v>
      </c>
      <c r="AD258">
        <v>3</v>
      </c>
      <c r="AE258">
        <v>10</v>
      </c>
      <c r="AF258">
        <v>2</v>
      </c>
      <c r="AG258">
        <v>0</v>
      </c>
      <c r="AH258">
        <v>0</v>
      </c>
    </row>
    <row r="259" spans="1:34" x14ac:dyDescent="0.35">
      <c r="A259" t="s">
        <v>319</v>
      </c>
      <c r="B259">
        <v>47</v>
      </c>
      <c r="C259" t="str">
        <f t="shared" ref="C259:C321" si="4">IF(B259&lt;=25,"under 25",IF(B259&lt;=34,"25-34",IF(B259&lt;=44,"35-44",IF(B259&lt;=54,"45-54","55+"))))</f>
        <v>45-54</v>
      </c>
      <c r="D259" t="s">
        <v>43</v>
      </c>
      <c r="E259" t="s">
        <v>45</v>
      </c>
      <c r="F259" t="s">
        <v>54</v>
      </c>
      <c r="G259">
        <v>1400</v>
      </c>
      <c r="H259" t="s">
        <v>38</v>
      </c>
      <c r="I259">
        <v>8</v>
      </c>
      <c r="J259">
        <v>5</v>
      </c>
      <c r="K259" t="s">
        <v>69</v>
      </c>
      <c r="L259">
        <v>4</v>
      </c>
      <c r="M259" t="s">
        <v>40</v>
      </c>
      <c r="N259">
        <v>86</v>
      </c>
      <c r="O259">
        <v>2</v>
      </c>
      <c r="P259">
        <v>1</v>
      </c>
      <c r="Q259" t="s">
        <v>60</v>
      </c>
      <c r="R259">
        <v>3</v>
      </c>
      <c r="S259" t="s">
        <v>42</v>
      </c>
      <c r="T259">
        <v>6238</v>
      </c>
      <c r="U259">
        <v>18709</v>
      </c>
      <c r="V259">
        <v>7</v>
      </c>
      <c r="W259" t="s">
        <v>35</v>
      </c>
      <c r="X259">
        <v>16</v>
      </c>
      <c r="Y259">
        <v>3</v>
      </c>
      <c r="Z259">
        <v>4</v>
      </c>
      <c r="AA259">
        <v>2</v>
      </c>
      <c r="AB259">
        <v>26</v>
      </c>
      <c r="AC259">
        <v>2</v>
      </c>
      <c r="AD259">
        <v>2</v>
      </c>
      <c r="AE259">
        <v>1</v>
      </c>
      <c r="AF259">
        <v>1</v>
      </c>
      <c r="AG259">
        <v>1</v>
      </c>
      <c r="AH259">
        <v>1</v>
      </c>
    </row>
    <row r="260" spans="1:34" x14ac:dyDescent="0.35">
      <c r="A260" t="s">
        <v>320</v>
      </c>
      <c r="B260">
        <v>41</v>
      </c>
      <c r="C260" t="str">
        <f t="shared" si="4"/>
        <v>35-44</v>
      </c>
      <c r="D260" t="s">
        <v>35</v>
      </c>
      <c r="E260" t="s">
        <v>36</v>
      </c>
      <c r="F260" t="s">
        <v>37</v>
      </c>
      <c r="G260">
        <v>306</v>
      </c>
      <c r="H260" t="s">
        <v>38</v>
      </c>
      <c r="I260">
        <v>23</v>
      </c>
      <c r="J260">
        <v>4</v>
      </c>
      <c r="K260" t="s">
        <v>69</v>
      </c>
      <c r="L260">
        <v>4</v>
      </c>
      <c r="M260" t="s">
        <v>51</v>
      </c>
      <c r="N260">
        <v>76</v>
      </c>
      <c r="O260">
        <v>3</v>
      </c>
      <c r="P260">
        <v>2</v>
      </c>
      <c r="Q260" t="s">
        <v>41</v>
      </c>
      <c r="R260">
        <v>2</v>
      </c>
      <c r="S260" t="s">
        <v>49</v>
      </c>
      <c r="T260">
        <v>7387</v>
      </c>
      <c r="U260">
        <v>19824</v>
      </c>
      <c r="V260">
        <v>2</v>
      </c>
      <c r="W260" t="s">
        <v>35</v>
      </c>
      <c r="X260">
        <v>16</v>
      </c>
      <c r="Y260">
        <v>3</v>
      </c>
      <c r="Z260">
        <v>3</v>
      </c>
      <c r="AA260">
        <v>1</v>
      </c>
      <c r="AB260">
        <v>22</v>
      </c>
      <c r="AC260">
        <v>2</v>
      </c>
      <c r="AD260">
        <v>3</v>
      </c>
      <c r="AE260">
        <v>2</v>
      </c>
      <c r="AF260">
        <v>0</v>
      </c>
      <c r="AG260">
        <v>1</v>
      </c>
      <c r="AH260">
        <v>2</v>
      </c>
    </row>
    <row r="261" spans="1:34" x14ac:dyDescent="0.35">
      <c r="A261" t="s">
        <v>321</v>
      </c>
      <c r="B261">
        <v>42</v>
      </c>
      <c r="C261" t="str">
        <f t="shared" si="4"/>
        <v>35-44</v>
      </c>
      <c r="D261" t="s">
        <v>43</v>
      </c>
      <c r="E261" t="s">
        <v>45</v>
      </c>
      <c r="F261" t="s">
        <v>37</v>
      </c>
      <c r="G261">
        <v>863</v>
      </c>
      <c r="H261" t="s">
        <v>46</v>
      </c>
      <c r="I261">
        <v>16</v>
      </c>
      <c r="J261">
        <v>3</v>
      </c>
      <c r="K261" t="s">
        <v>69</v>
      </c>
      <c r="L261">
        <v>1</v>
      </c>
      <c r="M261" t="s">
        <v>51</v>
      </c>
      <c r="N261">
        <v>89</v>
      </c>
      <c r="O261">
        <v>3</v>
      </c>
      <c r="P261">
        <v>2</v>
      </c>
      <c r="Q261" t="s">
        <v>48</v>
      </c>
      <c r="R261">
        <v>4</v>
      </c>
      <c r="S261" t="s">
        <v>56</v>
      </c>
      <c r="T261">
        <v>6323</v>
      </c>
      <c r="U261">
        <v>21310</v>
      </c>
      <c r="V261">
        <v>3</v>
      </c>
      <c r="W261" t="s">
        <v>35</v>
      </c>
      <c r="X261">
        <v>13</v>
      </c>
      <c r="Y261">
        <v>4</v>
      </c>
      <c r="Z261">
        <v>3</v>
      </c>
      <c r="AA261">
        <v>2</v>
      </c>
      <c r="AB261">
        <v>20</v>
      </c>
      <c r="AC261">
        <v>3</v>
      </c>
      <c r="AD261">
        <v>3</v>
      </c>
      <c r="AE261">
        <v>1</v>
      </c>
      <c r="AF261">
        <v>0</v>
      </c>
      <c r="AG261">
        <v>1</v>
      </c>
      <c r="AH261">
        <v>1</v>
      </c>
    </row>
    <row r="262" spans="1:34" x14ac:dyDescent="0.35">
      <c r="A262" t="s">
        <v>322</v>
      </c>
      <c r="B262">
        <v>32</v>
      </c>
      <c r="C262" t="str">
        <f t="shared" si="4"/>
        <v>25-34</v>
      </c>
      <c r="D262" t="s">
        <v>35</v>
      </c>
      <c r="E262" t="s">
        <v>36</v>
      </c>
      <c r="F262" t="s">
        <v>37</v>
      </c>
      <c r="G262">
        <v>870</v>
      </c>
      <c r="H262" t="s">
        <v>46</v>
      </c>
      <c r="I262">
        <v>1</v>
      </c>
      <c r="J262">
        <v>3</v>
      </c>
      <c r="K262" t="s">
        <v>69</v>
      </c>
      <c r="L262">
        <v>2</v>
      </c>
      <c r="M262" t="s">
        <v>51</v>
      </c>
      <c r="N262">
        <v>57</v>
      </c>
      <c r="O262">
        <v>3</v>
      </c>
      <c r="P262">
        <v>2</v>
      </c>
      <c r="Q262" t="s">
        <v>48</v>
      </c>
      <c r="R262">
        <v>3</v>
      </c>
      <c r="S262" t="s">
        <v>56</v>
      </c>
      <c r="T262">
        <v>5471</v>
      </c>
      <c r="U262">
        <v>19086</v>
      </c>
      <c r="V262">
        <v>3</v>
      </c>
      <c r="W262" t="s">
        <v>43</v>
      </c>
      <c r="X262">
        <v>13</v>
      </c>
      <c r="Y262">
        <v>3</v>
      </c>
      <c r="Z262">
        <v>1</v>
      </c>
      <c r="AA262">
        <v>0</v>
      </c>
      <c r="AB262">
        <v>10</v>
      </c>
      <c r="AC262">
        <v>2</v>
      </c>
      <c r="AD262">
        <v>3</v>
      </c>
      <c r="AE262">
        <v>5</v>
      </c>
      <c r="AF262">
        <v>3</v>
      </c>
      <c r="AG262">
        <v>0</v>
      </c>
      <c r="AH262">
        <v>3</v>
      </c>
    </row>
    <row r="263" spans="1:34" x14ac:dyDescent="0.35">
      <c r="A263" t="s">
        <v>323</v>
      </c>
      <c r="B263">
        <v>38</v>
      </c>
      <c r="C263" t="str">
        <f t="shared" si="4"/>
        <v>35-44</v>
      </c>
      <c r="D263" t="s">
        <v>35</v>
      </c>
      <c r="E263" t="s">
        <v>36</v>
      </c>
      <c r="F263" t="s">
        <v>37</v>
      </c>
      <c r="G263">
        <v>441</v>
      </c>
      <c r="H263" t="s">
        <v>46</v>
      </c>
      <c r="I263">
        <v>4</v>
      </c>
      <c r="J263">
        <v>3</v>
      </c>
      <c r="K263" t="s">
        <v>47</v>
      </c>
      <c r="L263">
        <v>1</v>
      </c>
      <c r="M263" t="s">
        <v>40</v>
      </c>
      <c r="N263">
        <v>66</v>
      </c>
      <c r="O263">
        <v>3</v>
      </c>
      <c r="P263">
        <v>3</v>
      </c>
      <c r="Q263" t="s">
        <v>48</v>
      </c>
      <c r="R263">
        <v>1</v>
      </c>
      <c r="S263" t="s">
        <v>56</v>
      </c>
      <c r="T263">
        <v>7620</v>
      </c>
      <c r="U263">
        <v>18211</v>
      </c>
      <c r="V263">
        <v>3</v>
      </c>
      <c r="W263" t="s">
        <v>43</v>
      </c>
      <c r="X263">
        <v>11</v>
      </c>
      <c r="Y263">
        <v>3</v>
      </c>
      <c r="Z263">
        <v>2</v>
      </c>
      <c r="AA263">
        <v>0</v>
      </c>
      <c r="AB263">
        <v>12</v>
      </c>
      <c r="AC263">
        <v>0</v>
      </c>
      <c r="AD263">
        <v>3</v>
      </c>
      <c r="AE263">
        <v>12</v>
      </c>
      <c r="AF263">
        <v>4</v>
      </c>
      <c r="AG263">
        <v>0</v>
      </c>
      <c r="AH263">
        <v>5</v>
      </c>
    </row>
    <row r="264" spans="1:34" x14ac:dyDescent="0.35">
      <c r="A264" t="s">
        <v>324</v>
      </c>
      <c r="B264">
        <v>32</v>
      </c>
      <c r="C264" t="str">
        <f t="shared" si="4"/>
        <v>25-34</v>
      </c>
      <c r="D264" t="s">
        <v>43</v>
      </c>
      <c r="E264" t="s">
        <v>45</v>
      </c>
      <c r="F264" t="s">
        <v>37</v>
      </c>
      <c r="G264">
        <v>620</v>
      </c>
      <c r="H264" t="s">
        <v>38</v>
      </c>
      <c r="I264">
        <v>2</v>
      </c>
      <c r="J264">
        <v>4</v>
      </c>
      <c r="K264" t="s">
        <v>69</v>
      </c>
      <c r="L264">
        <v>2</v>
      </c>
      <c r="M264" t="s">
        <v>51</v>
      </c>
      <c r="N264">
        <v>59</v>
      </c>
      <c r="O264">
        <v>3</v>
      </c>
      <c r="P264">
        <v>1</v>
      </c>
      <c r="Q264" t="s">
        <v>41</v>
      </c>
      <c r="R264">
        <v>4</v>
      </c>
      <c r="S264" t="s">
        <v>42</v>
      </c>
      <c r="T264">
        <v>5598</v>
      </c>
      <c r="U264">
        <v>17660</v>
      </c>
      <c r="V264">
        <v>1</v>
      </c>
      <c r="W264" t="s">
        <v>43</v>
      </c>
      <c r="X264">
        <v>14</v>
      </c>
      <c r="Y264">
        <v>4</v>
      </c>
      <c r="Z264">
        <v>4</v>
      </c>
      <c r="AA264">
        <v>2</v>
      </c>
      <c r="AB264">
        <v>6</v>
      </c>
      <c r="AC264">
        <v>3</v>
      </c>
      <c r="AD264">
        <v>4</v>
      </c>
      <c r="AE264">
        <v>2</v>
      </c>
      <c r="AF264">
        <v>2</v>
      </c>
      <c r="AG264">
        <v>2</v>
      </c>
      <c r="AH264">
        <v>1</v>
      </c>
    </row>
    <row r="265" spans="1:34" x14ac:dyDescent="0.35">
      <c r="A265" t="s">
        <v>325</v>
      </c>
      <c r="B265">
        <v>37</v>
      </c>
      <c r="C265" t="str">
        <f t="shared" si="4"/>
        <v>35-44</v>
      </c>
      <c r="D265" t="s">
        <v>35</v>
      </c>
      <c r="E265" t="s">
        <v>36</v>
      </c>
      <c r="F265" t="s">
        <v>37</v>
      </c>
      <c r="G265">
        <v>968</v>
      </c>
      <c r="H265" t="s">
        <v>46</v>
      </c>
      <c r="I265">
        <v>4</v>
      </c>
      <c r="J265">
        <v>3</v>
      </c>
      <c r="K265" t="s">
        <v>103</v>
      </c>
      <c r="L265">
        <v>1</v>
      </c>
      <c r="M265" t="s">
        <v>40</v>
      </c>
      <c r="N265">
        <v>73</v>
      </c>
      <c r="O265">
        <v>3</v>
      </c>
      <c r="P265">
        <v>1</v>
      </c>
      <c r="Q265" t="s">
        <v>65</v>
      </c>
      <c r="R265">
        <v>3</v>
      </c>
      <c r="S265" t="s">
        <v>49</v>
      </c>
      <c r="T265">
        <v>3371</v>
      </c>
      <c r="U265">
        <v>18042</v>
      </c>
      <c r="V265">
        <v>5</v>
      </c>
      <c r="W265" t="s">
        <v>35</v>
      </c>
      <c r="X265">
        <v>17</v>
      </c>
      <c r="Y265">
        <v>3</v>
      </c>
      <c r="Z265">
        <v>4</v>
      </c>
      <c r="AA265">
        <v>1</v>
      </c>
      <c r="AB265">
        <v>10</v>
      </c>
      <c r="AC265">
        <v>1</v>
      </c>
      <c r="AD265">
        <v>3</v>
      </c>
      <c r="AE265">
        <v>4</v>
      </c>
      <c r="AF265">
        <v>1</v>
      </c>
      <c r="AG265">
        <v>4</v>
      </c>
      <c r="AH265">
        <v>0</v>
      </c>
    </row>
    <row r="266" spans="1:34" x14ac:dyDescent="0.35">
      <c r="A266" t="s">
        <v>326</v>
      </c>
      <c r="B266">
        <v>36</v>
      </c>
      <c r="C266" t="str">
        <f t="shared" si="4"/>
        <v>35-44</v>
      </c>
      <c r="D266" t="s">
        <v>35</v>
      </c>
      <c r="E266" t="s">
        <v>36</v>
      </c>
      <c r="F266" t="s">
        <v>59</v>
      </c>
      <c r="G266">
        <v>474</v>
      </c>
      <c r="H266" t="s">
        <v>38</v>
      </c>
      <c r="I266">
        <v>1</v>
      </c>
      <c r="J266">
        <v>4</v>
      </c>
      <c r="K266" t="s">
        <v>69</v>
      </c>
      <c r="L266">
        <v>3</v>
      </c>
      <c r="M266" t="s">
        <v>51</v>
      </c>
      <c r="N266">
        <v>73</v>
      </c>
      <c r="O266">
        <v>3</v>
      </c>
      <c r="P266">
        <v>3</v>
      </c>
      <c r="Q266" t="s">
        <v>62</v>
      </c>
      <c r="R266">
        <v>4</v>
      </c>
      <c r="S266" t="s">
        <v>42</v>
      </c>
      <c r="T266">
        <v>8063</v>
      </c>
      <c r="U266">
        <v>21709</v>
      </c>
      <c r="V266">
        <v>3</v>
      </c>
      <c r="W266" t="s">
        <v>35</v>
      </c>
      <c r="X266">
        <v>11</v>
      </c>
      <c r="Y266">
        <v>3</v>
      </c>
      <c r="Z266">
        <v>1</v>
      </c>
      <c r="AA266">
        <v>0</v>
      </c>
      <c r="AB266">
        <v>12</v>
      </c>
      <c r="AC266">
        <v>1</v>
      </c>
      <c r="AD266">
        <v>4</v>
      </c>
      <c r="AE266">
        <v>12</v>
      </c>
      <c r="AF266">
        <v>1</v>
      </c>
      <c r="AG266">
        <v>3</v>
      </c>
      <c r="AH266">
        <v>1</v>
      </c>
    </row>
    <row r="267" spans="1:34" x14ac:dyDescent="0.35">
      <c r="A267" t="s">
        <v>327</v>
      </c>
      <c r="B267">
        <v>54</v>
      </c>
      <c r="C267" t="str">
        <f t="shared" si="4"/>
        <v>45-54</v>
      </c>
      <c r="D267" t="s">
        <v>35</v>
      </c>
      <c r="E267" t="s">
        <v>36</v>
      </c>
      <c r="F267" t="s">
        <v>37</v>
      </c>
      <c r="G267">
        <v>1485</v>
      </c>
      <c r="H267" t="s">
        <v>38</v>
      </c>
      <c r="I267">
        <v>6</v>
      </c>
      <c r="J267">
        <v>4</v>
      </c>
      <c r="K267" t="s">
        <v>64</v>
      </c>
      <c r="L267">
        <v>2</v>
      </c>
      <c r="M267" t="s">
        <v>40</v>
      </c>
      <c r="N267">
        <v>47</v>
      </c>
      <c r="O267">
        <v>4</v>
      </c>
      <c r="P267">
        <v>1</v>
      </c>
      <c r="Q267" t="s">
        <v>60</v>
      </c>
      <c r="R267">
        <v>3</v>
      </c>
      <c r="S267" t="s">
        <v>56</v>
      </c>
      <c r="T267">
        <v>6713</v>
      </c>
      <c r="U267">
        <v>19326</v>
      </c>
      <c r="V267">
        <v>3</v>
      </c>
      <c r="W267" t="s">
        <v>35</v>
      </c>
      <c r="X267">
        <v>13</v>
      </c>
      <c r="Y267">
        <v>3</v>
      </c>
      <c r="Z267">
        <v>1</v>
      </c>
      <c r="AA267">
        <v>1</v>
      </c>
      <c r="AB267">
        <v>32</v>
      </c>
      <c r="AC267">
        <v>0</v>
      </c>
      <c r="AD267">
        <v>2</v>
      </c>
      <c r="AE267">
        <v>2</v>
      </c>
      <c r="AF267">
        <v>1</v>
      </c>
      <c r="AG267">
        <v>1</v>
      </c>
      <c r="AH267">
        <v>2</v>
      </c>
    </row>
    <row r="268" spans="1:34" x14ac:dyDescent="0.35">
      <c r="A268" t="s">
        <v>328</v>
      </c>
      <c r="B268">
        <v>37</v>
      </c>
      <c r="C268" t="str">
        <f t="shared" si="4"/>
        <v>35-44</v>
      </c>
      <c r="D268" t="s">
        <v>35</v>
      </c>
      <c r="E268" t="s">
        <v>36</v>
      </c>
      <c r="F268" t="s">
        <v>37</v>
      </c>
      <c r="G268">
        <v>917</v>
      </c>
      <c r="H268" t="s">
        <v>38</v>
      </c>
      <c r="I268">
        <v>3</v>
      </c>
      <c r="J268">
        <v>2</v>
      </c>
      <c r="K268" t="s">
        <v>64</v>
      </c>
      <c r="L268">
        <v>4</v>
      </c>
      <c r="M268" t="s">
        <v>40</v>
      </c>
      <c r="N268">
        <v>33</v>
      </c>
      <c r="O268">
        <v>2</v>
      </c>
      <c r="P268">
        <v>1</v>
      </c>
      <c r="Q268" t="s">
        <v>48</v>
      </c>
      <c r="R268">
        <v>4</v>
      </c>
      <c r="S268" t="s">
        <v>49</v>
      </c>
      <c r="T268">
        <v>6485</v>
      </c>
      <c r="U268">
        <v>9730</v>
      </c>
      <c r="V268">
        <v>0</v>
      </c>
      <c r="W268" t="s">
        <v>35</v>
      </c>
      <c r="X268">
        <v>17</v>
      </c>
      <c r="Y268">
        <v>3</v>
      </c>
      <c r="Z268">
        <v>4</v>
      </c>
      <c r="AA268">
        <v>0</v>
      </c>
      <c r="AB268">
        <v>17</v>
      </c>
      <c r="AC268">
        <v>3</v>
      </c>
      <c r="AD268">
        <v>2</v>
      </c>
      <c r="AE268">
        <v>4</v>
      </c>
      <c r="AF268">
        <v>1</v>
      </c>
      <c r="AG268">
        <v>0</v>
      </c>
      <c r="AH268">
        <v>1</v>
      </c>
    </row>
    <row r="269" spans="1:34" x14ac:dyDescent="0.35">
      <c r="A269" t="s">
        <v>329</v>
      </c>
      <c r="B269">
        <v>35</v>
      </c>
      <c r="C269" t="str">
        <f t="shared" si="4"/>
        <v>35-44</v>
      </c>
      <c r="D269" t="s">
        <v>35</v>
      </c>
      <c r="E269" t="s">
        <v>36</v>
      </c>
      <c r="F269" t="s">
        <v>37</v>
      </c>
      <c r="G269">
        <v>1317</v>
      </c>
      <c r="H269" t="s">
        <v>46</v>
      </c>
      <c r="I269">
        <v>29</v>
      </c>
      <c r="J269">
        <v>2</v>
      </c>
      <c r="K269" t="s">
        <v>64</v>
      </c>
      <c r="L269">
        <v>2</v>
      </c>
      <c r="M269" t="s">
        <v>40</v>
      </c>
      <c r="N269">
        <v>50</v>
      </c>
      <c r="O269">
        <v>4</v>
      </c>
      <c r="P269">
        <v>3</v>
      </c>
      <c r="Q269" t="s">
        <v>48</v>
      </c>
      <c r="R269">
        <v>2</v>
      </c>
      <c r="S269" t="s">
        <v>56</v>
      </c>
      <c r="T269">
        <v>8745</v>
      </c>
      <c r="U269">
        <v>26950</v>
      </c>
      <c r="V269">
        <v>7</v>
      </c>
      <c r="W269" t="s">
        <v>43</v>
      </c>
      <c r="X269">
        <v>11</v>
      </c>
      <c r="Y269">
        <v>3</v>
      </c>
      <c r="Z269">
        <v>3</v>
      </c>
      <c r="AA269">
        <v>2</v>
      </c>
      <c r="AB269">
        <v>14</v>
      </c>
      <c r="AC269">
        <v>3</v>
      </c>
      <c r="AD269">
        <v>3</v>
      </c>
      <c r="AE269">
        <v>14</v>
      </c>
      <c r="AF269">
        <v>5</v>
      </c>
      <c r="AG269">
        <v>2</v>
      </c>
      <c r="AH269">
        <v>1</v>
      </c>
    </row>
    <row r="270" spans="1:34" x14ac:dyDescent="0.35">
      <c r="A270" t="s">
        <v>330</v>
      </c>
      <c r="B270">
        <v>29</v>
      </c>
      <c r="C270" t="str">
        <f t="shared" si="4"/>
        <v>25-34</v>
      </c>
      <c r="D270" t="s">
        <v>43</v>
      </c>
      <c r="E270" t="s">
        <v>45</v>
      </c>
      <c r="F270" t="s">
        <v>54</v>
      </c>
      <c r="G270">
        <v>513</v>
      </c>
      <c r="H270" t="s">
        <v>38</v>
      </c>
      <c r="I270">
        <v>1</v>
      </c>
      <c r="J270">
        <v>1</v>
      </c>
      <c r="K270" t="s">
        <v>47</v>
      </c>
      <c r="L270">
        <v>1</v>
      </c>
      <c r="M270" t="s">
        <v>40</v>
      </c>
      <c r="N270">
        <v>56</v>
      </c>
      <c r="O270">
        <v>2</v>
      </c>
      <c r="P270">
        <v>2</v>
      </c>
      <c r="Q270" t="s">
        <v>41</v>
      </c>
      <c r="R270">
        <v>4</v>
      </c>
      <c r="S270" t="s">
        <v>42</v>
      </c>
      <c r="T270">
        <v>6618</v>
      </c>
      <c r="U270">
        <v>7190</v>
      </c>
      <c r="V270">
        <v>1</v>
      </c>
      <c r="W270" t="s">
        <v>43</v>
      </c>
      <c r="X270">
        <v>15</v>
      </c>
      <c r="Y270">
        <v>4</v>
      </c>
      <c r="Z270">
        <v>3</v>
      </c>
      <c r="AA270">
        <v>1</v>
      </c>
      <c r="AB270">
        <v>5</v>
      </c>
      <c r="AC270">
        <v>2</v>
      </c>
      <c r="AD270">
        <v>3</v>
      </c>
      <c r="AE270">
        <v>5</v>
      </c>
      <c r="AF270">
        <v>4</v>
      </c>
      <c r="AG270">
        <v>1</v>
      </c>
      <c r="AH270">
        <v>3</v>
      </c>
    </row>
    <row r="271" spans="1:34" x14ac:dyDescent="0.35">
      <c r="A271" t="s">
        <v>331</v>
      </c>
      <c r="B271">
        <v>46</v>
      </c>
      <c r="C271" t="str">
        <f t="shared" si="4"/>
        <v>45-54</v>
      </c>
      <c r="D271" t="s">
        <v>35</v>
      </c>
      <c r="E271" t="s">
        <v>36</v>
      </c>
      <c r="F271" t="s">
        <v>37</v>
      </c>
      <c r="G271">
        <v>797</v>
      </c>
      <c r="H271" t="s">
        <v>46</v>
      </c>
      <c r="I271">
        <v>4</v>
      </c>
      <c r="J271">
        <v>2</v>
      </c>
      <c r="K271" t="s">
        <v>103</v>
      </c>
      <c r="L271">
        <v>4</v>
      </c>
      <c r="M271" t="s">
        <v>40</v>
      </c>
      <c r="N271">
        <v>42</v>
      </c>
      <c r="O271">
        <v>3</v>
      </c>
      <c r="P271">
        <v>1</v>
      </c>
      <c r="Q271" t="s">
        <v>48</v>
      </c>
      <c r="R271">
        <v>4</v>
      </c>
      <c r="S271" t="s">
        <v>56</v>
      </c>
      <c r="T271">
        <v>5007</v>
      </c>
      <c r="U271">
        <v>24705</v>
      </c>
      <c r="V271">
        <v>6</v>
      </c>
      <c r="W271" t="s">
        <v>43</v>
      </c>
      <c r="X271">
        <v>21</v>
      </c>
      <c r="Y271">
        <v>3</v>
      </c>
      <c r="Z271">
        <v>3</v>
      </c>
      <c r="AA271">
        <v>1</v>
      </c>
      <c r="AB271">
        <v>22</v>
      </c>
      <c r="AC271">
        <v>1</v>
      </c>
      <c r="AD271">
        <v>3</v>
      </c>
      <c r="AE271">
        <v>1</v>
      </c>
      <c r="AF271">
        <v>0</v>
      </c>
      <c r="AG271">
        <v>1</v>
      </c>
      <c r="AH271">
        <v>1</v>
      </c>
    </row>
    <row r="272" spans="1:34" x14ac:dyDescent="0.35">
      <c r="A272" t="s">
        <v>332</v>
      </c>
      <c r="B272">
        <v>34</v>
      </c>
      <c r="C272" t="str">
        <f t="shared" si="4"/>
        <v>25-34</v>
      </c>
      <c r="D272" t="s">
        <v>43</v>
      </c>
      <c r="E272" t="s">
        <v>45</v>
      </c>
      <c r="F272" t="s">
        <v>37</v>
      </c>
      <c r="G272">
        <v>1459</v>
      </c>
      <c r="H272" t="s">
        <v>38</v>
      </c>
      <c r="I272">
        <v>10</v>
      </c>
      <c r="J272">
        <v>4</v>
      </c>
      <c r="K272" t="s">
        <v>69</v>
      </c>
      <c r="L272">
        <v>4</v>
      </c>
      <c r="M272" t="s">
        <v>40</v>
      </c>
      <c r="N272">
        <v>92</v>
      </c>
      <c r="O272">
        <v>3</v>
      </c>
      <c r="P272">
        <v>2</v>
      </c>
      <c r="Q272" t="s">
        <v>52</v>
      </c>
      <c r="R272">
        <v>2</v>
      </c>
      <c r="S272" t="s">
        <v>49</v>
      </c>
      <c r="T272">
        <v>7045</v>
      </c>
      <c r="U272">
        <v>23801</v>
      </c>
      <c r="V272">
        <v>1</v>
      </c>
      <c r="W272" t="s">
        <v>35</v>
      </c>
      <c r="X272">
        <v>17</v>
      </c>
      <c r="Y272">
        <v>3</v>
      </c>
      <c r="Z272">
        <v>1</v>
      </c>
      <c r="AA272">
        <v>0</v>
      </c>
      <c r="AB272">
        <v>11</v>
      </c>
      <c r="AC272">
        <v>6</v>
      </c>
      <c r="AD272">
        <v>2</v>
      </c>
      <c r="AE272">
        <v>5</v>
      </c>
      <c r="AF272">
        <v>3</v>
      </c>
      <c r="AG272">
        <v>0</v>
      </c>
      <c r="AH272">
        <v>1</v>
      </c>
    </row>
    <row r="273" spans="1:34" x14ac:dyDescent="0.35">
      <c r="A273" t="s">
        <v>333</v>
      </c>
      <c r="B273">
        <v>34</v>
      </c>
      <c r="C273" t="str">
        <f t="shared" si="4"/>
        <v>25-34</v>
      </c>
      <c r="D273" t="s">
        <v>35</v>
      </c>
      <c r="E273" t="s">
        <v>36</v>
      </c>
      <c r="F273" t="s">
        <v>59</v>
      </c>
      <c r="G273">
        <v>1232</v>
      </c>
      <c r="H273" t="s">
        <v>38</v>
      </c>
      <c r="I273">
        <v>11</v>
      </c>
      <c r="J273">
        <v>2</v>
      </c>
      <c r="K273" t="s">
        <v>39</v>
      </c>
      <c r="L273">
        <v>1</v>
      </c>
      <c r="M273" t="s">
        <v>51</v>
      </c>
      <c r="N273">
        <v>79</v>
      </c>
      <c r="O273">
        <v>3</v>
      </c>
      <c r="P273">
        <v>1</v>
      </c>
      <c r="Q273" t="s">
        <v>52</v>
      </c>
      <c r="R273">
        <v>4</v>
      </c>
      <c r="S273" t="s">
        <v>49</v>
      </c>
      <c r="T273">
        <v>6358</v>
      </c>
      <c r="U273">
        <v>25443</v>
      </c>
      <c r="V273">
        <v>4</v>
      </c>
      <c r="W273" t="s">
        <v>35</v>
      </c>
      <c r="X273">
        <v>11</v>
      </c>
      <c r="Y273">
        <v>3</v>
      </c>
      <c r="Z273">
        <v>3</v>
      </c>
      <c r="AA273">
        <v>1</v>
      </c>
      <c r="AB273">
        <v>12</v>
      </c>
      <c r="AC273">
        <v>1</v>
      </c>
      <c r="AD273">
        <v>1</v>
      </c>
      <c r="AE273">
        <v>2</v>
      </c>
      <c r="AF273">
        <v>0</v>
      </c>
      <c r="AG273">
        <v>1</v>
      </c>
      <c r="AH273">
        <v>2</v>
      </c>
    </row>
    <row r="274" spans="1:34" x14ac:dyDescent="0.35">
      <c r="A274" t="s">
        <v>334</v>
      </c>
      <c r="B274">
        <v>33</v>
      </c>
      <c r="C274" t="str">
        <f t="shared" si="4"/>
        <v>25-34</v>
      </c>
      <c r="D274" t="s">
        <v>35</v>
      </c>
      <c r="E274" t="s">
        <v>36</v>
      </c>
      <c r="F274" t="s">
        <v>37</v>
      </c>
      <c r="G274">
        <v>1194</v>
      </c>
      <c r="H274" t="s">
        <v>38</v>
      </c>
      <c r="I274">
        <v>4</v>
      </c>
      <c r="J274">
        <v>3</v>
      </c>
      <c r="K274" t="s">
        <v>39</v>
      </c>
      <c r="L274">
        <v>4</v>
      </c>
      <c r="M274" t="s">
        <v>51</v>
      </c>
      <c r="N274">
        <v>54</v>
      </c>
      <c r="O274">
        <v>3</v>
      </c>
      <c r="P274">
        <v>1</v>
      </c>
      <c r="Q274" t="s">
        <v>41</v>
      </c>
      <c r="R274">
        <v>4</v>
      </c>
      <c r="S274" t="s">
        <v>56</v>
      </c>
      <c r="T274">
        <v>5265</v>
      </c>
      <c r="U274">
        <v>26130</v>
      </c>
      <c r="V274">
        <v>2</v>
      </c>
      <c r="W274" t="s">
        <v>43</v>
      </c>
      <c r="X274">
        <v>13</v>
      </c>
      <c r="Y274">
        <v>4</v>
      </c>
      <c r="Z274">
        <v>3</v>
      </c>
      <c r="AA274">
        <v>1</v>
      </c>
      <c r="AB274">
        <v>9</v>
      </c>
      <c r="AC274">
        <v>4</v>
      </c>
      <c r="AD274">
        <v>3</v>
      </c>
      <c r="AE274">
        <v>2</v>
      </c>
      <c r="AF274">
        <v>0</v>
      </c>
      <c r="AG274">
        <v>1</v>
      </c>
      <c r="AH274">
        <v>0</v>
      </c>
    </row>
    <row r="275" spans="1:34" x14ac:dyDescent="0.35">
      <c r="A275" t="s">
        <v>335</v>
      </c>
      <c r="B275">
        <v>40</v>
      </c>
      <c r="C275" t="str">
        <f t="shared" si="4"/>
        <v>35-44</v>
      </c>
      <c r="D275" t="s">
        <v>43</v>
      </c>
      <c r="E275" t="s">
        <v>45</v>
      </c>
      <c r="F275" t="s">
        <v>59</v>
      </c>
      <c r="G275">
        <v>145</v>
      </c>
      <c r="H275" t="s">
        <v>38</v>
      </c>
      <c r="I275">
        <v>4</v>
      </c>
      <c r="J275">
        <v>4</v>
      </c>
      <c r="K275" t="s">
        <v>69</v>
      </c>
      <c r="L275">
        <v>1</v>
      </c>
      <c r="M275" t="s">
        <v>40</v>
      </c>
      <c r="N275">
        <v>76</v>
      </c>
      <c r="O275">
        <v>3</v>
      </c>
      <c r="P275">
        <v>3</v>
      </c>
      <c r="Q275" t="s">
        <v>41</v>
      </c>
      <c r="R275">
        <v>4</v>
      </c>
      <c r="S275" t="s">
        <v>42</v>
      </c>
      <c r="T275">
        <v>10557</v>
      </c>
      <c r="U275">
        <v>9758</v>
      </c>
      <c r="V275">
        <v>1</v>
      </c>
      <c r="W275" t="s">
        <v>35</v>
      </c>
      <c r="X275">
        <v>15</v>
      </c>
      <c r="Y275">
        <v>3</v>
      </c>
      <c r="Z275">
        <v>3</v>
      </c>
      <c r="AA275">
        <v>1</v>
      </c>
      <c r="AB275">
        <v>17</v>
      </c>
      <c r="AC275">
        <v>1</v>
      </c>
      <c r="AD275">
        <v>4</v>
      </c>
      <c r="AE275">
        <v>10</v>
      </c>
      <c r="AF275">
        <v>3</v>
      </c>
      <c r="AG275">
        <v>3</v>
      </c>
      <c r="AH275">
        <v>5</v>
      </c>
    </row>
    <row r="276" spans="1:34" x14ac:dyDescent="0.35">
      <c r="A276" t="s">
        <v>336</v>
      </c>
      <c r="B276">
        <v>32</v>
      </c>
      <c r="C276" t="str">
        <f t="shared" si="4"/>
        <v>25-34</v>
      </c>
      <c r="D276" t="s">
        <v>35</v>
      </c>
      <c r="E276" t="s">
        <v>36</v>
      </c>
      <c r="F276" t="s">
        <v>37</v>
      </c>
      <c r="G276">
        <v>162</v>
      </c>
      <c r="H276" t="s">
        <v>38</v>
      </c>
      <c r="I276">
        <v>1</v>
      </c>
      <c r="J276">
        <v>3</v>
      </c>
      <c r="K276" t="s">
        <v>47</v>
      </c>
      <c r="L276">
        <v>4</v>
      </c>
      <c r="M276" t="s">
        <v>40</v>
      </c>
      <c r="N276">
        <v>77</v>
      </c>
      <c r="O276">
        <v>3</v>
      </c>
      <c r="P276">
        <v>1</v>
      </c>
      <c r="Q276" t="s">
        <v>41</v>
      </c>
      <c r="R276">
        <v>4</v>
      </c>
      <c r="S276" t="s">
        <v>42</v>
      </c>
      <c r="T276">
        <v>4665</v>
      </c>
      <c r="U276">
        <v>23590</v>
      </c>
      <c r="V276">
        <v>4</v>
      </c>
      <c r="W276" t="s">
        <v>35</v>
      </c>
      <c r="X276">
        <v>15</v>
      </c>
      <c r="Y276">
        <v>3</v>
      </c>
      <c r="Z276">
        <v>3</v>
      </c>
      <c r="AA276">
        <v>0</v>
      </c>
      <c r="AB276">
        <v>8</v>
      </c>
      <c r="AC276">
        <v>6</v>
      </c>
      <c r="AD276">
        <v>3</v>
      </c>
      <c r="AE276">
        <v>0</v>
      </c>
      <c r="AF276">
        <v>0</v>
      </c>
      <c r="AG276">
        <v>0</v>
      </c>
      <c r="AH276">
        <v>0</v>
      </c>
    </row>
    <row r="277" spans="1:34" x14ac:dyDescent="0.35">
      <c r="A277" t="s">
        <v>337</v>
      </c>
      <c r="B277">
        <v>47</v>
      </c>
      <c r="C277" t="str">
        <f t="shared" si="4"/>
        <v>45-54</v>
      </c>
      <c r="D277" t="s">
        <v>35</v>
      </c>
      <c r="E277" t="s">
        <v>36</v>
      </c>
      <c r="F277" t="s">
        <v>37</v>
      </c>
      <c r="G277">
        <v>627</v>
      </c>
      <c r="H277" t="s">
        <v>99</v>
      </c>
      <c r="I277">
        <v>5</v>
      </c>
      <c r="J277">
        <v>4</v>
      </c>
      <c r="K277" t="s">
        <v>47</v>
      </c>
      <c r="L277">
        <v>2</v>
      </c>
      <c r="M277" t="s">
        <v>40</v>
      </c>
      <c r="N277">
        <v>57</v>
      </c>
      <c r="O277">
        <v>3</v>
      </c>
      <c r="P277">
        <v>1</v>
      </c>
      <c r="Q277" t="s">
        <v>99</v>
      </c>
      <c r="R277">
        <v>1</v>
      </c>
      <c r="S277" t="s">
        <v>42</v>
      </c>
      <c r="T277">
        <v>5312</v>
      </c>
      <c r="U277">
        <v>20785</v>
      </c>
      <c r="V277">
        <v>3</v>
      </c>
      <c r="W277" t="s">
        <v>35</v>
      </c>
      <c r="X277">
        <v>17</v>
      </c>
      <c r="Y277">
        <v>3</v>
      </c>
      <c r="Z277">
        <v>3</v>
      </c>
      <c r="AA277">
        <v>3</v>
      </c>
      <c r="AB277">
        <v>28</v>
      </c>
      <c r="AC277">
        <v>4</v>
      </c>
      <c r="AD277">
        <v>3</v>
      </c>
      <c r="AE277">
        <v>0</v>
      </c>
      <c r="AF277">
        <v>0</v>
      </c>
      <c r="AG277">
        <v>0</v>
      </c>
      <c r="AH277">
        <v>0</v>
      </c>
    </row>
    <row r="278" spans="1:34" x14ac:dyDescent="0.35">
      <c r="A278" t="s">
        <v>338</v>
      </c>
      <c r="B278">
        <v>35</v>
      </c>
      <c r="C278" t="str">
        <f t="shared" si="4"/>
        <v>35-44</v>
      </c>
      <c r="D278" t="s">
        <v>35</v>
      </c>
      <c r="E278" t="s">
        <v>36</v>
      </c>
      <c r="F278" t="s">
        <v>37</v>
      </c>
      <c r="G278">
        <v>1061</v>
      </c>
      <c r="H278" t="s">
        <v>46</v>
      </c>
      <c r="I278">
        <v>21</v>
      </c>
      <c r="J278">
        <v>3</v>
      </c>
      <c r="K278" t="s">
        <v>64</v>
      </c>
      <c r="L278">
        <v>1</v>
      </c>
      <c r="M278" t="s">
        <v>40</v>
      </c>
      <c r="N278">
        <v>90</v>
      </c>
      <c r="O278">
        <v>3</v>
      </c>
      <c r="P278">
        <v>1</v>
      </c>
      <c r="Q278" t="s">
        <v>80</v>
      </c>
      <c r="R278">
        <v>3</v>
      </c>
      <c r="S278" t="s">
        <v>56</v>
      </c>
      <c r="T278">
        <v>5412</v>
      </c>
      <c r="U278">
        <v>4673</v>
      </c>
      <c r="V278">
        <v>8</v>
      </c>
      <c r="W278" t="s">
        <v>35</v>
      </c>
      <c r="X278">
        <v>20</v>
      </c>
      <c r="Y278">
        <v>3</v>
      </c>
      <c r="Z278">
        <v>4</v>
      </c>
      <c r="AA278">
        <v>0</v>
      </c>
      <c r="AB278">
        <v>11</v>
      </c>
      <c r="AC278">
        <v>2</v>
      </c>
      <c r="AD278">
        <v>4</v>
      </c>
      <c r="AE278">
        <v>4</v>
      </c>
      <c r="AF278">
        <v>1</v>
      </c>
      <c r="AG278">
        <v>3</v>
      </c>
      <c r="AH278">
        <v>1</v>
      </c>
    </row>
    <row r="279" spans="1:34" x14ac:dyDescent="0.35">
      <c r="A279" t="s">
        <v>339</v>
      </c>
      <c r="B279">
        <v>25</v>
      </c>
      <c r="C279" t="str">
        <f t="shared" si="4"/>
        <v>under 25</v>
      </c>
      <c r="D279" t="s">
        <v>35</v>
      </c>
      <c r="E279" t="s">
        <v>36</v>
      </c>
      <c r="F279" t="s">
        <v>37</v>
      </c>
      <c r="G279">
        <v>1160</v>
      </c>
      <c r="H279" t="s">
        <v>38</v>
      </c>
      <c r="I279">
        <v>7</v>
      </c>
      <c r="J279">
        <v>1</v>
      </c>
      <c r="K279" t="s">
        <v>39</v>
      </c>
      <c r="L279">
        <v>4</v>
      </c>
      <c r="M279" t="s">
        <v>40</v>
      </c>
      <c r="N279">
        <v>43</v>
      </c>
      <c r="O279">
        <v>3</v>
      </c>
      <c r="P279">
        <v>1</v>
      </c>
      <c r="Q279" t="s">
        <v>52</v>
      </c>
      <c r="R279">
        <v>4</v>
      </c>
      <c r="S279" t="s">
        <v>49</v>
      </c>
      <c r="T279">
        <v>5178</v>
      </c>
      <c r="U279">
        <v>14186</v>
      </c>
      <c r="V279">
        <v>2</v>
      </c>
      <c r="W279" t="s">
        <v>35</v>
      </c>
      <c r="X279">
        <v>17</v>
      </c>
      <c r="Y279">
        <v>3</v>
      </c>
      <c r="Z279">
        <v>4</v>
      </c>
      <c r="AA279">
        <v>1</v>
      </c>
      <c r="AB279">
        <v>4</v>
      </c>
      <c r="AC279">
        <v>1</v>
      </c>
      <c r="AD279">
        <v>3</v>
      </c>
      <c r="AE279">
        <v>4</v>
      </c>
      <c r="AF279">
        <v>1</v>
      </c>
      <c r="AG279">
        <v>4</v>
      </c>
      <c r="AH279">
        <v>4</v>
      </c>
    </row>
    <row r="280" spans="1:34" x14ac:dyDescent="0.35">
      <c r="A280" t="s">
        <v>340</v>
      </c>
      <c r="B280">
        <v>33</v>
      </c>
      <c r="C280" t="str">
        <f t="shared" si="4"/>
        <v>25-34</v>
      </c>
      <c r="D280" t="s">
        <v>35</v>
      </c>
      <c r="E280" t="s">
        <v>36</v>
      </c>
      <c r="F280" t="s">
        <v>37</v>
      </c>
      <c r="G280">
        <v>206</v>
      </c>
      <c r="H280" t="s">
        <v>46</v>
      </c>
      <c r="I280">
        <v>1</v>
      </c>
      <c r="J280">
        <v>4</v>
      </c>
      <c r="K280" t="s">
        <v>64</v>
      </c>
      <c r="L280">
        <v>3</v>
      </c>
      <c r="M280" t="s">
        <v>40</v>
      </c>
      <c r="N280">
        <v>98</v>
      </c>
      <c r="O280">
        <v>1</v>
      </c>
      <c r="P280">
        <v>3</v>
      </c>
      <c r="Q280" t="s">
        <v>65</v>
      </c>
      <c r="R280">
        <v>3</v>
      </c>
      <c r="S280" t="s">
        <v>42</v>
      </c>
      <c r="T280">
        <v>7219</v>
      </c>
      <c r="U280">
        <v>25136</v>
      </c>
      <c r="V280">
        <v>2</v>
      </c>
      <c r="W280" t="s">
        <v>35</v>
      </c>
      <c r="X280">
        <v>19</v>
      </c>
      <c r="Y280">
        <v>3</v>
      </c>
      <c r="Z280">
        <v>1</v>
      </c>
      <c r="AA280">
        <v>1</v>
      </c>
      <c r="AB280">
        <v>10</v>
      </c>
      <c r="AC280">
        <v>3</v>
      </c>
      <c r="AD280">
        <v>3</v>
      </c>
      <c r="AE280">
        <v>7</v>
      </c>
      <c r="AF280">
        <v>0</v>
      </c>
      <c r="AG280">
        <v>4</v>
      </c>
      <c r="AH280">
        <v>6</v>
      </c>
    </row>
    <row r="281" spans="1:34" x14ac:dyDescent="0.35">
      <c r="A281" t="s">
        <v>341</v>
      </c>
      <c r="B281">
        <v>46</v>
      </c>
      <c r="C281" t="str">
        <f t="shared" si="4"/>
        <v>45-54</v>
      </c>
      <c r="D281" t="s">
        <v>43</v>
      </c>
      <c r="E281" t="s">
        <v>45</v>
      </c>
      <c r="F281" t="s">
        <v>37</v>
      </c>
      <c r="G281">
        <v>842</v>
      </c>
      <c r="H281" t="s">
        <v>38</v>
      </c>
      <c r="I281">
        <v>19</v>
      </c>
      <c r="J281">
        <v>4</v>
      </c>
      <c r="K281" t="s">
        <v>47</v>
      </c>
      <c r="L281">
        <v>4</v>
      </c>
      <c r="M281" t="s">
        <v>40</v>
      </c>
      <c r="N281">
        <v>63</v>
      </c>
      <c r="O281">
        <v>3</v>
      </c>
      <c r="P281">
        <v>2</v>
      </c>
      <c r="Q281" t="s">
        <v>62</v>
      </c>
      <c r="R281">
        <v>4</v>
      </c>
      <c r="S281" t="s">
        <v>49</v>
      </c>
      <c r="T281">
        <v>6459</v>
      </c>
      <c r="U281">
        <v>2794</v>
      </c>
      <c r="V281">
        <v>4</v>
      </c>
      <c r="W281" t="s">
        <v>43</v>
      </c>
      <c r="X281">
        <v>13</v>
      </c>
      <c r="Y281">
        <v>3</v>
      </c>
      <c r="Z281">
        <v>3</v>
      </c>
      <c r="AA281">
        <v>1</v>
      </c>
      <c r="AB281">
        <v>17</v>
      </c>
      <c r="AC281">
        <v>2</v>
      </c>
      <c r="AD281">
        <v>1</v>
      </c>
      <c r="AE281">
        <v>4</v>
      </c>
      <c r="AF281">
        <v>3</v>
      </c>
      <c r="AG281">
        <v>0</v>
      </c>
      <c r="AH281">
        <v>2</v>
      </c>
    </row>
    <row r="282" spans="1:34" x14ac:dyDescent="0.35">
      <c r="A282" t="s">
        <v>342</v>
      </c>
      <c r="B282">
        <v>46</v>
      </c>
      <c r="C282" t="str">
        <f t="shared" si="4"/>
        <v>45-54</v>
      </c>
      <c r="D282" t="s">
        <v>35</v>
      </c>
      <c r="E282" t="s">
        <v>36</v>
      </c>
      <c r="F282" t="s">
        <v>37</v>
      </c>
      <c r="G282">
        <v>657</v>
      </c>
      <c r="H282" t="s">
        <v>38</v>
      </c>
      <c r="I282">
        <v>2</v>
      </c>
      <c r="J282">
        <v>4</v>
      </c>
      <c r="K282" t="s">
        <v>64</v>
      </c>
      <c r="L282">
        <v>2</v>
      </c>
      <c r="M282" t="s">
        <v>51</v>
      </c>
      <c r="N282">
        <v>74</v>
      </c>
      <c r="O282">
        <v>4</v>
      </c>
      <c r="P282">
        <v>1</v>
      </c>
      <c r="Q282" t="s">
        <v>55</v>
      </c>
      <c r="R282">
        <v>3</v>
      </c>
      <c r="S282" t="s">
        <v>49</v>
      </c>
      <c r="T282">
        <v>4173</v>
      </c>
      <c r="U282">
        <v>22114</v>
      </c>
      <c r="V282">
        <v>2</v>
      </c>
      <c r="W282" t="s">
        <v>43</v>
      </c>
      <c r="X282">
        <v>15</v>
      </c>
      <c r="Y282">
        <v>3</v>
      </c>
      <c r="Z282">
        <v>4</v>
      </c>
      <c r="AA282">
        <v>0</v>
      </c>
      <c r="AB282">
        <v>23</v>
      </c>
      <c r="AC282">
        <v>0</v>
      </c>
      <c r="AD282">
        <v>4</v>
      </c>
      <c r="AE282">
        <v>1</v>
      </c>
      <c r="AF282">
        <v>1</v>
      </c>
      <c r="AG282">
        <v>1</v>
      </c>
      <c r="AH282">
        <v>1</v>
      </c>
    </row>
    <row r="283" spans="1:34" x14ac:dyDescent="0.35">
      <c r="A283" t="s">
        <v>343</v>
      </c>
      <c r="B283">
        <v>38</v>
      </c>
      <c r="C283" t="str">
        <f t="shared" si="4"/>
        <v>35-44</v>
      </c>
      <c r="D283" t="s">
        <v>35</v>
      </c>
      <c r="E283" t="s">
        <v>36</v>
      </c>
      <c r="F283" t="s">
        <v>37</v>
      </c>
      <c r="G283">
        <v>1295</v>
      </c>
      <c r="H283" t="s">
        <v>38</v>
      </c>
      <c r="I283">
        <v>1</v>
      </c>
      <c r="J283">
        <v>2</v>
      </c>
      <c r="K283" t="s">
        <v>64</v>
      </c>
      <c r="L283">
        <v>1</v>
      </c>
      <c r="M283" t="s">
        <v>40</v>
      </c>
      <c r="N283">
        <v>42</v>
      </c>
      <c r="O283">
        <v>2</v>
      </c>
      <c r="P283">
        <v>1</v>
      </c>
      <c r="Q283" t="s">
        <v>48</v>
      </c>
      <c r="R283">
        <v>4</v>
      </c>
      <c r="S283" t="s">
        <v>49</v>
      </c>
      <c r="T283">
        <v>5650</v>
      </c>
      <c r="U283">
        <v>17123</v>
      </c>
      <c r="V283">
        <v>2</v>
      </c>
      <c r="W283" t="s">
        <v>35</v>
      </c>
      <c r="X283">
        <v>14</v>
      </c>
      <c r="Y283">
        <v>3</v>
      </c>
      <c r="Z283">
        <v>3</v>
      </c>
      <c r="AA283">
        <v>2</v>
      </c>
      <c r="AB283">
        <v>15</v>
      </c>
      <c r="AC283">
        <v>5</v>
      </c>
      <c r="AD283">
        <v>2</v>
      </c>
      <c r="AE283">
        <v>3</v>
      </c>
      <c r="AF283">
        <v>0</v>
      </c>
      <c r="AG283">
        <v>1</v>
      </c>
      <c r="AH283">
        <v>2</v>
      </c>
    </row>
    <row r="284" spans="1:34" x14ac:dyDescent="0.35">
      <c r="A284" t="s">
        <v>344</v>
      </c>
      <c r="B284">
        <v>41</v>
      </c>
      <c r="C284" t="str">
        <f t="shared" si="4"/>
        <v>35-44</v>
      </c>
      <c r="D284" t="s">
        <v>35</v>
      </c>
      <c r="E284" t="s">
        <v>36</v>
      </c>
      <c r="F284" t="s">
        <v>37</v>
      </c>
      <c r="G284">
        <v>557</v>
      </c>
      <c r="H284" t="s">
        <v>38</v>
      </c>
      <c r="I284">
        <v>16</v>
      </c>
      <c r="J284">
        <v>3</v>
      </c>
      <c r="K284" t="s">
        <v>64</v>
      </c>
      <c r="L284">
        <v>2</v>
      </c>
      <c r="M284" t="s">
        <v>40</v>
      </c>
      <c r="N284">
        <v>46</v>
      </c>
      <c r="O284">
        <v>3</v>
      </c>
      <c r="P284">
        <v>1</v>
      </c>
      <c r="Q284" t="s">
        <v>60</v>
      </c>
      <c r="R284">
        <v>1</v>
      </c>
      <c r="S284" t="s">
        <v>49</v>
      </c>
      <c r="T284">
        <v>3103</v>
      </c>
      <c r="U284">
        <v>14661</v>
      </c>
      <c r="V284">
        <v>4</v>
      </c>
      <c r="W284" t="s">
        <v>35</v>
      </c>
      <c r="X284">
        <v>11</v>
      </c>
      <c r="Y284">
        <v>3</v>
      </c>
      <c r="Z284">
        <v>4</v>
      </c>
      <c r="AA284">
        <v>1</v>
      </c>
      <c r="AB284">
        <v>13</v>
      </c>
      <c r="AC284">
        <v>4</v>
      </c>
      <c r="AD284">
        <v>2</v>
      </c>
      <c r="AE284">
        <v>3</v>
      </c>
      <c r="AF284">
        <v>0</v>
      </c>
      <c r="AG284">
        <v>0</v>
      </c>
      <c r="AH284">
        <v>1</v>
      </c>
    </row>
    <row r="285" spans="1:34" x14ac:dyDescent="0.35">
      <c r="A285" t="s">
        <v>345</v>
      </c>
      <c r="B285">
        <v>25</v>
      </c>
      <c r="C285" t="str">
        <f t="shared" si="4"/>
        <v>under 25</v>
      </c>
      <c r="D285" t="s">
        <v>35</v>
      </c>
      <c r="E285" t="s">
        <v>36</v>
      </c>
      <c r="F285" t="s">
        <v>37</v>
      </c>
      <c r="G285">
        <v>905</v>
      </c>
      <c r="H285" t="s">
        <v>46</v>
      </c>
      <c r="I285">
        <v>12</v>
      </c>
      <c r="J285">
        <v>2</v>
      </c>
      <c r="K285" t="s">
        <v>47</v>
      </c>
      <c r="L285">
        <v>4</v>
      </c>
      <c r="M285" t="s">
        <v>40</v>
      </c>
      <c r="N285">
        <v>62</v>
      </c>
      <c r="O285">
        <v>3</v>
      </c>
      <c r="P285">
        <v>1</v>
      </c>
      <c r="Q285" t="s">
        <v>48</v>
      </c>
      <c r="R285">
        <v>4</v>
      </c>
      <c r="S285" t="s">
        <v>49</v>
      </c>
      <c r="T285">
        <v>4179</v>
      </c>
      <c r="U285">
        <v>23020</v>
      </c>
      <c r="V285">
        <v>1</v>
      </c>
      <c r="W285" t="s">
        <v>35</v>
      </c>
      <c r="X285">
        <v>15</v>
      </c>
      <c r="Y285">
        <v>3</v>
      </c>
      <c r="Z285">
        <v>2</v>
      </c>
      <c r="AA285">
        <v>0</v>
      </c>
      <c r="AB285">
        <v>3</v>
      </c>
      <c r="AC285">
        <v>4</v>
      </c>
      <c r="AD285">
        <v>2</v>
      </c>
      <c r="AE285">
        <v>1</v>
      </c>
      <c r="AF285">
        <v>0</v>
      </c>
      <c r="AG285">
        <v>1</v>
      </c>
      <c r="AH285">
        <v>1</v>
      </c>
    </row>
    <row r="286" spans="1:34" x14ac:dyDescent="0.35">
      <c r="A286" t="s">
        <v>346</v>
      </c>
      <c r="B286">
        <v>49</v>
      </c>
      <c r="C286" t="str">
        <f t="shared" si="4"/>
        <v>45-54</v>
      </c>
      <c r="D286" t="s">
        <v>35</v>
      </c>
      <c r="E286" t="s">
        <v>36</v>
      </c>
      <c r="F286" t="s">
        <v>37</v>
      </c>
      <c r="G286">
        <v>485</v>
      </c>
      <c r="H286" t="s">
        <v>38</v>
      </c>
      <c r="I286">
        <v>1</v>
      </c>
      <c r="J286">
        <v>3</v>
      </c>
      <c r="K286" t="s">
        <v>64</v>
      </c>
      <c r="L286">
        <v>3</v>
      </c>
      <c r="M286" t="s">
        <v>40</v>
      </c>
      <c r="N286">
        <v>85</v>
      </c>
      <c r="O286">
        <v>4</v>
      </c>
      <c r="P286">
        <v>1</v>
      </c>
      <c r="Q286" t="s">
        <v>48</v>
      </c>
      <c r="R286">
        <v>4</v>
      </c>
      <c r="S286" t="s">
        <v>56</v>
      </c>
      <c r="T286">
        <v>6959</v>
      </c>
      <c r="U286">
        <v>3301</v>
      </c>
      <c r="V286">
        <v>3</v>
      </c>
      <c r="W286" t="s">
        <v>35</v>
      </c>
      <c r="X286">
        <v>14</v>
      </c>
      <c r="Y286">
        <v>3</v>
      </c>
      <c r="Z286">
        <v>4</v>
      </c>
      <c r="AA286">
        <v>0</v>
      </c>
      <c r="AB286">
        <v>27</v>
      </c>
      <c r="AC286">
        <v>1</v>
      </c>
      <c r="AD286">
        <v>2</v>
      </c>
      <c r="AE286">
        <v>3</v>
      </c>
      <c r="AF286">
        <v>1</v>
      </c>
      <c r="AG286">
        <v>0</v>
      </c>
      <c r="AH286">
        <v>3</v>
      </c>
    </row>
    <row r="287" spans="1:34" x14ac:dyDescent="0.35">
      <c r="A287" t="s">
        <v>347</v>
      </c>
      <c r="B287">
        <v>48</v>
      </c>
      <c r="C287" t="str">
        <f t="shared" si="4"/>
        <v>45-54</v>
      </c>
      <c r="D287" t="s">
        <v>35</v>
      </c>
      <c r="E287" t="s">
        <v>36</v>
      </c>
      <c r="F287" t="s">
        <v>37</v>
      </c>
      <c r="G287">
        <v>745</v>
      </c>
      <c r="H287" t="s">
        <v>38</v>
      </c>
      <c r="I287">
        <v>1</v>
      </c>
      <c r="J287">
        <v>3</v>
      </c>
      <c r="K287" t="s">
        <v>64</v>
      </c>
      <c r="L287">
        <v>4</v>
      </c>
      <c r="M287" t="s">
        <v>51</v>
      </c>
      <c r="N287">
        <v>40</v>
      </c>
      <c r="O287">
        <v>2</v>
      </c>
      <c r="P287">
        <v>3</v>
      </c>
      <c r="Q287" t="s">
        <v>48</v>
      </c>
      <c r="R287">
        <v>4</v>
      </c>
      <c r="S287" t="s">
        <v>49</v>
      </c>
      <c r="T287">
        <v>9557</v>
      </c>
      <c r="U287">
        <v>3022</v>
      </c>
      <c r="V287">
        <v>5</v>
      </c>
      <c r="W287" t="s">
        <v>35</v>
      </c>
      <c r="X287">
        <v>15</v>
      </c>
      <c r="Y287">
        <v>3</v>
      </c>
      <c r="Z287">
        <v>1</v>
      </c>
      <c r="AA287">
        <v>1</v>
      </c>
      <c r="AB287">
        <v>27</v>
      </c>
      <c r="AC287">
        <v>4</v>
      </c>
      <c r="AD287">
        <v>4</v>
      </c>
      <c r="AE287">
        <v>5</v>
      </c>
      <c r="AF287">
        <v>4</v>
      </c>
      <c r="AG287">
        <v>1</v>
      </c>
      <c r="AH287">
        <v>5</v>
      </c>
    </row>
    <row r="288" spans="1:34" x14ac:dyDescent="0.35">
      <c r="A288" t="s">
        <v>348</v>
      </c>
      <c r="B288">
        <v>37</v>
      </c>
      <c r="C288" t="str">
        <f t="shared" si="4"/>
        <v>35-44</v>
      </c>
      <c r="D288" t="s">
        <v>35</v>
      </c>
      <c r="E288" t="s">
        <v>36</v>
      </c>
      <c r="F288" t="s">
        <v>37</v>
      </c>
      <c r="G288">
        <v>1269</v>
      </c>
      <c r="H288" t="s">
        <v>46</v>
      </c>
      <c r="I288">
        <v>1</v>
      </c>
      <c r="J288">
        <v>4</v>
      </c>
      <c r="K288" t="s">
        <v>103</v>
      </c>
      <c r="L288">
        <v>2</v>
      </c>
      <c r="M288" t="s">
        <v>40</v>
      </c>
      <c r="N288">
        <v>89</v>
      </c>
      <c r="O288">
        <v>2</v>
      </c>
      <c r="P288">
        <v>1</v>
      </c>
      <c r="Q288" t="s">
        <v>48</v>
      </c>
      <c r="R288">
        <v>4</v>
      </c>
      <c r="S288" t="s">
        <v>49</v>
      </c>
      <c r="T288">
        <v>5083</v>
      </c>
      <c r="U288">
        <v>23132</v>
      </c>
      <c r="V288">
        <v>1</v>
      </c>
      <c r="W288" t="s">
        <v>35</v>
      </c>
      <c r="X288">
        <v>11</v>
      </c>
      <c r="Y288">
        <v>3</v>
      </c>
      <c r="Z288">
        <v>1</v>
      </c>
      <c r="AA288">
        <v>0</v>
      </c>
      <c r="AB288">
        <v>14</v>
      </c>
      <c r="AC288">
        <v>3</v>
      </c>
      <c r="AD288">
        <v>3</v>
      </c>
      <c r="AE288">
        <v>4</v>
      </c>
      <c r="AF288">
        <v>0</v>
      </c>
      <c r="AG288">
        <v>4</v>
      </c>
      <c r="AH288">
        <v>0</v>
      </c>
    </row>
    <row r="289" spans="1:34" x14ac:dyDescent="0.35">
      <c r="A289" t="s">
        <v>349</v>
      </c>
      <c r="B289">
        <v>36</v>
      </c>
      <c r="C289" t="str">
        <f t="shared" si="4"/>
        <v>35-44</v>
      </c>
      <c r="D289" t="s">
        <v>43</v>
      </c>
      <c r="E289" t="s">
        <v>45</v>
      </c>
      <c r="F289" t="s">
        <v>37</v>
      </c>
      <c r="G289">
        <v>540</v>
      </c>
      <c r="H289" t="s">
        <v>38</v>
      </c>
      <c r="I289">
        <v>5</v>
      </c>
      <c r="J289">
        <v>4</v>
      </c>
      <c r="K289" t="s">
        <v>69</v>
      </c>
      <c r="L289">
        <v>1</v>
      </c>
      <c r="M289" t="s">
        <v>40</v>
      </c>
      <c r="N289">
        <v>57</v>
      </c>
      <c r="O289">
        <v>2</v>
      </c>
      <c r="P289">
        <v>1</v>
      </c>
      <c r="Q289" t="s">
        <v>48</v>
      </c>
      <c r="R289">
        <v>3</v>
      </c>
      <c r="S289" t="s">
        <v>42</v>
      </c>
      <c r="T289">
        <v>3639</v>
      </c>
      <c r="U289">
        <v>18845</v>
      </c>
      <c r="V289">
        <v>3</v>
      </c>
      <c r="W289" t="s">
        <v>35</v>
      </c>
      <c r="X289">
        <v>11</v>
      </c>
      <c r="Y289">
        <v>3</v>
      </c>
      <c r="Z289">
        <v>3</v>
      </c>
      <c r="AA289">
        <v>0</v>
      </c>
      <c r="AB289">
        <v>13</v>
      </c>
      <c r="AC289">
        <v>3</v>
      </c>
      <c r="AD289">
        <v>1</v>
      </c>
      <c r="AE289">
        <v>2</v>
      </c>
      <c r="AF289">
        <v>2</v>
      </c>
      <c r="AG289">
        <v>2</v>
      </c>
      <c r="AH289">
        <v>2</v>
      </c>
    </row>
    <row r="290" spans="1:34" x14ac:dyDescent="0.35">
      <c r="A290" t="s">
        <v>350</v>
      </c>
      <c r="B290">
        <v>19</v>
      </c>
      <c r="C290" t="str">
        <f t="shared" si="4"/>
        <v>under 25</v>
      </c>
      <c r="D290" t="s">
        <v>43</v>
      </c>
      <c r="E290" t="s">
        <v>45</v>
      </c>
      <c r="F290" t="s">
        <v>37</v>
      </c>
      <c r="G290">
        <v>1364</v>
      </c>
      <c r="H290" t="s">
        <v>38</v>
      </c>
      <c r="I290">
        <v>6</v>
      </c>
      <c r="J290">
        <v>3</v>
      </c>
      <c r="K290" t="s">
        <v>64</v>
      </c>
      <c r="L290">
        <v>4</v>
      </c>
      <c r="M290" t="s">
        <v>40</v>
      </c>
      <c r="N290">
        <v>63</v>
      </c>
      <c r="O290">
        <v>3</v>
      </c>
      <c r="P290">
        <v>1</v>
      </c>
      <c r="Q290" t="s">
        <v>60</v>
      </c>
      <c r="R290">
        <v>2</v>
      </c>
      <c r="S290" t="s">
        <v>56</v>
      </c>
      <c r="T290">
        <v>2451</v>
      </c>
      <c r="U290">
        <v>19226</v>
      </c>
      <c r="V290">
        <v>4</v>
      </c>
      <c r="W290" t="s">
        <v>35</v>
      </c>
      <c r="X290">
        <v>20</v>
      </c>
      <c r="Y290">
        <v>3</v>
      </c>
      <c r="Z290">
        <v>2</v>
      </c>
      <c r="AA290">
        <v>0</v>
      </c>
      <c r="AB290">
        <v>0</v>
      </c>
      <c r="AC290">
        <v>3</v>
      </c>
      <c r="AD290">
        <v>4</v>
      </c>
      <c r="AE290">
        <v>0</v>
      </c>
      <c r="AF290">
        <v>0</v>
      </c>
      <c r="AG290">
        <v>0</v>
      </c>
      <c r="AH290">
        <v>0</v>
      </c>
    </row>
    <row r="291" spans="1:34" x14ac:dyDescent="0.35">
      <c r="A291" t="s">
        <v>351</v>
      </c>
      <c r="B291">
        <v>35</v>
      </c>
      <c r="C291" t="str">
        <f t="shared" si="4"/>
        <v>35-44</v>
      </c>
      <c r="D291" t="s">
        <v>35</v>
      </c>
      <c r="E291" t="s">
        <v>36</v>
      </c>
      <c r="F291" t="s">
        <v>54</v>
      </c>
      <c r="G291">
        <v>522</v>
      </c>
      <c r="H291" t="s">
        <v>38</v>
      </c>
      <c r="I291">
        <v>3</v>
      </c>
      <c r="J291">
        <v>4</v>
      </c>
      <c r="K291" t="s">
        <v>69</v>
      </c>
      <c r="L291">
        <v>3</v>
      </c>
      <c r="M291" t="s">
        <v>51</v>
      </c>
      <c r="N291">
        <v>55</v>
      </c>
      <c r="O291">
        <v>3</v>
      </c>
      <c r="P291">
        <v>3</v>
      </c>
      <c r="Q291" t="s">
        <v>62</v>
      </c>
      <c r="R291">
        <v>4</v>
      </c>
      <c r="S291" t="s">
        <v>49</v>
      </c>
      <c r="T291">
        <v>8128</v>
      </c>
      <c r="U291">
        <v>6899</v>
      </c>
      <c r="V291">
        <v>1</v>
      </c>
      <c r="W291" t="s">
        <v>35</v>
      </c>
      <c r="X291">
        <v>17</v>
      </c>
      <c r="Y291">
        <v>3</v>
      </c>
      <c r="Z291">
        <v>4</v>
      </c>
      <c r="AA291">
        <v>0</v>
      </c>
      <c r="AB291">
        <v>10</v>
      </c>
      <c r="AC291">
        <v>6</v>
      </c>
      <c r="AD291">
        <v>4</v>
      </c>
      <c r="AE291">
        <v>10</v>
      </c>
      <c r="AF291">
        <v>0</v>
      </c>
      <c r="AG291">
        <v>3</v>
      </c>
      <c r="AH291">
        <v>0</v>
      </c>
    </row>
    <row r="292" spans="1:34" x14ac:dyDescent="0.35">
      <c r="A292" t="s">
        <v>352</v>
      </c>
      <c r="B292">
        <v>35</v>
      </c>
      <c r="C292" t="str">
        <f t="shared" si="4"/>
        <v>35-44</v>
      </c>
      <c r="D292" t="s">
        <v>43</v>
      </c>
      <c r="E292" t="s">
        <v>45</v>
      </c>
      <c r="F292" t="s">
        <v>37</v>
      </c>
      <c r="G292">
        <v>255</v>
      </c>
      <c r="H292" t="s">
        <v>38</v>
      </c>
      <c r="I292">
        <v>19</v>
      </c>
      <c r="J292">
        <v>5</v>
      </c>
      <c r="K292" t="s">
        <v>69</v>
      </c>
      <c r="L292">
        <v>4</v>
      </c>
      <c r="M292" t="s">
        <v>40</v>
      </c>
      <c r="N292">
        <v>48</v>
      </c>
      <c r="O292">
        <v>2</v>
      </c>
      <c r="P292">
        <v>1</v>
      </c>
      <c r="Q292" t="s">
        <v>41</v>
      </c>
      <c r="R292">
        <v>1</v>
      </c>
      <c r="S292" t="s">
        <v>49</v>
      </c>
      <c r="T292">
        <v>3363</v>
      </c>
      <c r="U292">
        <v>4479</v>
      </c>
      <c r="V292">
        <v>5</v>
      </c>
      <c r="W292" t="s">
        <v>43</v>
      </c>
      <c r="X292">
        <v>13</v>
      </c>
      <c r="Y292">
        <v>3</v>
      </c>
      <c r="Z292">
        <v>4</v>
      </c>
      <c r="AA292">
        <v>0</v>
      </c>
      <c r="AB292">
        <v>12</v>
      </c>
      <c r="AC292">
        <v>3</v>
      </c>
      <c r="AD292">
        <v>3</v>
      </c>
      <c r="AE292">
        <v>1</v>
      </c>
      <c r="AF292">
        <v>1</v>
      </c>
      <c r="AG292">
        <v>1</v>
      </c>
      <c r="AH292">
        <v>1</v>
      </c>
    </row>
    <row r="293" spans="1:34" x14ac:dyDescent="0.35">
      <c r="A293" t="s">
        <v>353</v>
      </c>
      <c r="B293">
        <v>26</v>
      </c>
      <c r="C293" t="str">
        <f t="shared" si="4"/>
        <v>25-34</v>
      </c>
      <c r="D293" t="s">
        <v>35</v>
      </c>
      <c r="E293" t="s">
        <v>36</v>
      </c>
      <c r="F293" t="s">
        <v>37</v>
      </c>
      <c r="G293">
        <v>1196</v>
      </c>
      <c r="H293" t="s">
        <v>46</v>
      </c>
      <c r="I293">
        <v>1</v>
      </c>
      <c r="J293">
        <v>1</v>
      </c>
      <c r="K293" t="s">
        <v>69</v>
      </c>
      <c r="L293">
        <v>3</v>
      </c>
      <c r="M293" t="s">
        <v>40</v>
      </c>
      <c r="N293">
        <v>68</v>
      </c>
      <c r="O293">
        <v>3</v>
      </c>
      <c r="P293">
        <v>1</v>
      </c>
      <c r="Q293" t="s">
        <v>80</v>
      </c>
      <c r="R293">
        <v>4</v>
      </c>
      <c r="S293" t="s">
        <v>49</v>
      </c>
      <c r="T293">
        <v>2458</v>
      </c>
      <c r="U293">
        <v>15536</v>
      </c>
      <c r="V293">
        <v>4</v>
      </c>
      <c r="W293" t="s">
        <v>43</v>
      </c>
      <c r="X293">
        <v>17</v>
      </c>
      <c r="Y293">
        <v>3</v>
      </c>
      <c r="Z293">
        <v>3</v>
      </c>
      <c r="AA293">
        <v>1</v>
      </c>
      <c r="AB293">
        <v>4</v>
      </c>
      <c r="AC293">
        <v>6</v>
      </c>
      <c r="AD293">
        <v>2</v>
      </c>
      <c r="AE293">
        <v>0</v>
      </c>
      <c r="AF293">
        <v>0</v>
      </c>
      <c r="AG293">
        <v>0</v>
      </c>
      <c r="AH293">
        <v>0</v>
      </c>
    </row>
    <row r="294" spans="1:34" x14ac:dyDescent="0.35">
      <c r="A294" t="s">
        <v>354</v>
      </c>
      <c r="B294">
        <v>45</v>
      </c>
      <c r="C294" t="str">
        <f t="shared" si="4"/>
        <v>45-54</v>
      </c>
      <c r="D294" t="s">
        <v>43</v>
      </c>
      <c r="E294" t="s">
        <v>45</v>
      </c>
      <c r="F294" t="s">
        <v>59</v>
      </c>
      <c r="G294">
        <v>1014</v>
      </c>
      <c r="H294" t="s">
        <v>38</v>
      </c>
      <c r="I294">
        <v>13</v>
      </c>
      <c r="J294">
        <v>3</v>
      </c>
      <c r="K294" t="s">
        <v>64</v>
      </c>
      <c r="L294">
        <v>2</v>
      </c>
      <c r="M294" t="s">
        <v>40</v>
      </c>
      <c r="N294">
        <v>91</v>
      </c>
      <c r="O294">
        <v>2</v>
      </c>
      <c r="P294">
        <v>3</v>
      </c>
      <c r="Q294" t="s">
        <v>60</v>
      </c>
      <c r="R294">
        <v>4</v>
      </c>
      <c r="S294" t="s">
        <v>42</v>
      </c>
      <c r="T294">
        <v>10127</v>
      </c>
      <c r="U294">
        <v>17958</v>
      </c>
      <c r="V294">
        <v>3</v>
      </c>
      <c r="W294" t="s">
        <v>43</v>
      </c>
      <c r="X294">
        <v>11</v>
      </c>
      <c r="Y294">
        <v>4</v>
      </c>
      <c r="Z294">
        <v>1</v>
      </c>
      <c r="AA294">
        <v>1</v>
      </c>
      <c r="AB294">
        <v>21</v>
      </c>
      <c r="AC294">
        <v>2</v>
      </c>
      <c r="AD294">
        <v>4</v>
      </c>
      <c r="AE294">
        <v>10</v>
      </c>
      <c r="AF294">
        <v>0</v>
      </c>
      <c r="AG294">
        <v>0</v>
      </c>
      <c r="AH294">
        <v>1</v>
      </c>
    </row>
    <row r="295" spans="1:34" x14ac:dyDescent="0.35">
      <c r="A295" t="s">
        <v>355</v>
      </c>
      <c r="B295">
        <v>43</v>
      </c>
      <c r="C295" t="str">
        <f t="shared" si="4"/>
        <v>35-44</v>
      </c>
      <c r="D295" t="s">
        <v>35</v>
      </c>
      <c r="E295" t="s">
        <v>36</v>
      </c>
      <c r="F295" t="s">
        <v>54</v>
      </c>
      <c r="G295">
        <v>1168</v>
      </c>
      <c r="H295" t="s">
        <v>38</v>
      </c>
      <c r="I295">
        <v>3</v>
      </c>
      <c r="J295">
        <v>2</v>
      </c>
      <c r="K295" t="s">
        <v>39</v>
      </c>
      <c r="L295">
        <v>3</v>
      </c>
      <c r="M295" t="s">
        <v>40</v>
      </c>
      <c r="N295">
        <v>66</v>
      </c>
      <c r="O295">
        <v>2</v>
      </c>
      <c r="P295">
        <v>4</v>
      </c>
      <c r="Q295" t="s">
        <v>52</v>
      </c>
      <c r="R295">
        <v>3</v>
      </c>
      <c r="S295" t="s">
        <v>49</v>
      </c>
      <c r="T295">
        <v>13425</v>
      </c>
      <c r="U295">
        <v>25465</v>
      </c>
      <c r="V295">
        <v>2</v>
      </c>
      <c r="W295" t="s">
        <v>43</v>
      </c>
      <c r="X295">
        <v>11</v>
      </c>
      <c r="Y295">
        <v>3</v>
      </c>
      <c r="Z295">
        <v>3</v>
      </c>
      <c r="AA295">
        <v>0</v>
      </c>
      <c r="AB295">
        <v>20</v>
      </c>
      <c r="AC295">
        <v>3</v>
      </c>
      <c r="AD295">
        <v>1</v>
      </c>
      <c r="AE295">
        <v>14</v>
      </c>
      <c r="AF295">
        <v>6</v>
      </c>
      <c r="AG295">
        <v>7</v>
      </c>
      <c r="AH295">
        <v>6</v>
      </c>
    </row>
    <row r="296" spans="1:34" x14ac:dyDescent="0.35">
      <c r="A296" t="s">
        <v>356</v>
      </c>
      <c r="B296">
        <v>42</v>
      </c>
      <c r="C296" t="str">
        <f t="shared" si="4"/>
        <v>35-44</v>
      </c>
      <c r="D296" t="s">
        <v>35</v>
      </c>
      <c r="E296" t="s">
        <v>36</v>
      </c>
      <c r="F296" t="s">
        <v>37</v>
      </c>
      <c r="G296">
        <v>471</v>
      </c>
      <c r="H296" t="s">
        <v>46</v>
      </c>
      <c r="I296">
        <v>16</v>
      </c>
      <c r="J296">
        <v>3</v>
      </c>
      <c r="K296" t="s">
        <v>47</v>
      </c>
      <c r="L296">
        <v>3</v>
      </c>
      <c r="M296" t="s">
        <v>51</v>
      </c>
      <c r="N296">
        <v>93</v>
      </c>
      <c r="O296">
        <v>3</v>
      </c>
      <c r="P296">
        <v>2</v>
      </c>
      <c r="Q296" t="s">
        <v>80</v>
      </c>
      <c r="R296">
        <v>3</v>
      </c>
      <c r="S296" t="s">
        <v>49</v>
      </c>
      <c r="T296">
        <v>7917</v>
      </c>
      <c r="U296">
        <v>7538</v>
      </c>
      <c r="V296">
        <v>1</v>
      </c>
      <c r="W296" t="s">
        <v>35</v>
      </c>
      <c r="X296">
        <v>15</v>
      </c>
      <c r="Y296">
        <v>3</v>
      </c>
      <c r="Z296">
        <v>4</v>
      </c>
      <c r="AA296">
        <v>0</v>
      </c>
      <c r="AB296">
        <v>17</v>
      </c>
      <c r="AC296">
        <v>6</v>
      </c>
      <c r="AD296">
        <v>2</v>
      </c>
      <c r="AE296">
        <v>8</v>
      </c>
      <c r="AF296">
        <v>6</v>
      </c>
      <c r="AG296">
        <v>1</v>
      </c>
      <c r="AH296">
        <v>4</v>
      </c>
    </row>
    <row r="297" spans="1:34" x14ac:dyDescent="0.35">
      <c r="A297" t="s">
        <v>357</v>
      </c>
      <c r="B297">
        <v>29</v>
      </c>
      <c r="C297" t="str">
        <f t="shared" si="4"/>
        <v>25-34</v>
      </c>
      <c r="D297" t="s">
        <v>43</v>
      </c>
      <c r="E297" t="s">
        <v>45</v>
      </c>
      <c r="F297" t="s">
        <v>37</v>
      </c>
      <c r="G297">
        <v>1469</v>
      </c>
      <c r="H297" t="s">
        <v>38</v>
      </c>
      <c r="I297">
        <v>1</v>
      </c>
      <c r="J297">
        <v>4</v>
      </c>
      <c r="K297" t="s">
        <v>39</v>
      </c>
      <c r="L297">
        <v>2</v>
      </c>
      <c r="M297" t="s">
        <v>40</v>
      </c>
      <c r="N297">
        <v>39</v>
      </c>
      <c r="O297">
        <v>2</v>
      </c>
      <c r="P297">
        <v>1</v>
      </c>
      <c r="Q297" t="s">
        <v>62</v>
      </c>
      <c r="R297">
        <v>4</v>
      </c>
      <c r="S297" t="s">
        <v>56</v>
      </c>
      <c r="T297">
        <v>6406</v>
      </c>
      <c r="U297">
        <v>20448</v>
      </c>
      <c r="V297">
        <v>7</v>
      </c>
      <c r="W297" t="s">
        <v>43</v>
      </c>
      <c r="X297">
        <v>11</v>
      </c>
      <c r="Y297">
        <v>3</v>
      </c>
      <c r="Z297">
        <v>1</v>
      </c>
      <c r="AA297">
        <v>2</v>
      </c>
      <c r="AB297">
        <v>8</v>
      </c>
      <c r="AC297">
        <v>2</v>
      </c>
      <c r="AD297">
        <v>4</v>
      </c>
      <c r="AE297">
        <v>0</v>
      </c>
      <c r="AF297">
        <v>0</v>
      </c>
      <c r="AG297">
        <v>0</v>
      </c>
      <c r="AH297">
        <v>0</v>
      </c>
    </row>
    <row r="298" spans="1:34" x14ac:dyDescent="0.35">
      <c r="A298" t="s">
        <v>358</v>
      </c>
      <c r="B298">
        <v>39</v>
      </c>
      <c r="C298" t="str">
        <f t="shared" si="4"/>
        <v>35-44</v>
      </c>
      <c r="D298" t="s">
        <v>35</v>
      </c>
      <c r="E298" t="s">
        <v>36</v>
      </c>
      <c r="F298" t="s">
        <v>37</v>
      </c>
      <c r="G298">
        <v>1470</v>
      </c>
      <c r="H298" t="s">
        <v>46</v>
      </c>
      <c r="I298">
        <v>2</v>
      </c>
      <c r="J298">
        <v>4</v>
      </c>
      <c r="K298" t="s">
        <v>64</v>
      </c>
      <c r="L298">
        <v>1</v>
      </c>
      <c r="M298" t="s">
        <v>40</v>
      </c>
      <c r="N298">
        <v>43</v>
      </c>
      <c r="O298">
        <v>3</v>
      </c>
      <c r="P298">
        <v>2</v>
      </c>
      <c r="Q298" t="s">
        <v>48</v>
      </c>
      <c r="R298">
        <v>4</v>
      </c>
      <c r="S298" t="s">
        <v>42</v>
      </c>
      <c r="T298">
        <v>7050</v>
      </c>
      <c r="U298">
        <v>11519</v>
      </c>
      <c r="V298">
        <v>1</v>
      </c>
      <c r="W298" t="s">
        <v>35</v>
      </c>
      <c r="X298">
        <v>15</v>
      </c>
      <c r="Y298">
        <v>3</v>
      </c>
      <c r="Z298">
        <v>1</v>
      </c>
      <c r="AA298">
        <v>2</v>
      </c>
      <c r="AB298">
        <v>18</v>
      </c>
      <c r="AC298">
        <v>5</v>
      </c>
      <c r="AD298">
        <v>3</v>
      </c>
      <c r="AE298">
        <v>7</v>
      </c>
      <c r="AF298">
        <v>1</v>
      </c>
      <c r="AG298">
        <v>0</v>
      </c>
      <c r="AH298">
        <v>1</v>
      </c>
    </row>
    <row r="299" spans="1:34" x14ac:dyDescent="0.35">
      <c r="A299" t="s">
        <v>359</v>
      </c>
      <c r="B299">
        <v>39</v>
      </c>
      <c r="C299" t="str">
        <f t="shared" si="4"/>
        <v>35-44</v>
      </c>
      <c r="D299" t="s">
        <v>35</v>
      </c>
      <c r="E299" t="s">
        <v>36</v>
      </c>
      <c r="F299" t="s">
        <v>37</v>
      </c>
      <c r="G299">
        <v>1267</v>
      </c>
      <c r="H299" t="s">
        <v>46</v>
      </c>
      <c r="I299">
        <v>1</v>
      </c>
      <c r="J299">
        <v>2</v>
      </c>
      <c r="K299" t="s">
        <v>69</v>
      </c>
      <c r="L299">
        <v>3</v>
      </c>
      <c r="M299" t="s">
        <v>51</v>
      </c>
      <c r="N299">
        <v>34</v>
      </c>
      <c r="O299">
        <v>3</v>
      </c>
      <c r="P299">
        <v>1</v>
      </c>
      <c r="Q299" t="s">
        <v>48</v>
      </c>
      <c r="R299">
        <v>2</v>
      </c>
      <c r="S299" t="s">
        <v>56</v>
      </c>
      <c r="T299">
        <v>5732</v>
      </c>
      <c r="U299">
        <v>18225</v>
      </c>
      <c r="V299">
        <v>4</v>
      </c>
      <c r="W299" t="s">
        <v>43</v>
      </c>
      <c r="X299">
        <v>11</v>
      </c>
      <c r="Y299">
        <v>3</v>
      </c>
      <c r="Z299">
        <v>2</v>
      </c>
      <c r="AA299">
        <v>1</v>
      </c>
      <c r="AB299">
        <v>16</v>
      </c>
      <c r="AC299">
        <v>2</v>
      </c>
      <c r="AD299">
        <v>2</v>
      </c>
      <c r="AE299">
        <v>0</v>
      </c>
      <c r="AF299">
        <v>0</v>
      </c>
      <c r="AG299">
        <v>0</v>
      </c>
      <c r="AH299">
        <v>0</v>
      </c>
    </row>
    <row r="300" spans="1:34" x14ac:dyDescent="0.35">
      <c r="A300" t="s">
        <v>360</v>
      </c>
      <c r="B300">
        <v>34</v>
      </c>
      <c r="C300" t="str">
        <f t="shared" si="4"/>
        <v>25-34</v>
      </c>
      <c r="D300" t="s">
        <v>35</v>
      </c>
      <c r="E300" t="s">
        <v>36</v>
      </c>
      <c r="F300" t="s">
        <v>37</v>
      </c>
      <c r="G300">
        <v>1204</v>
      </c>
      <c r="H300" t="s">
        <v>38</v>
      </c>
      <c r="I300">
        <v>1</v>
      </c>
      <c r="J300">
        <v>3</v>
      </c>
      <c r="K300" t="s">
        <v>69</v>
      </c>
      <c r="L300">
        <v>2</v>
      </c>
      <c r="M300" t="s">
        <v>40</v>
      </c>
      <c r="N300">
        <v>94</v>
      </c>
      <c r="O300">
        <v>3</v>
      </c>
      <c r="P300">
        <v>2</v>
      </c>
      <c r="Q300" t="s">
        <v>62</v>
      </c>
      <c r="R300">
        <v>1</v>
      </c>
      <c r="S300" t="s">
        <v>49</v>
      </c>
      <c r="T300">
        <v>5756</v>
      </c>
      <c r="U300">
        <v>2548</v>
      </c>
      <c r="V300">
        <v>1</v>
      </c>
      <c r="W300" t="s">
        <v>43</v>
      </c>
      <c r="X300">
        <v>17</v>
      </c>
      <c r="Y300">
        <v>3</v>
      </c>
      <c r="Z300">
        <v>2</v>
      </c>
      <c r="AA300">
        <v>0</v>
      </c>
      <c r="AB300">
        <v>11</v>
      </c>
      <c r="AC300">
        <v>4</v>
      </c>
      <c r="AD300">
        <v>3</v>
      </c>
      <c r="AE300">
        <v>6</v>
      </c>
      <c r="AF300">
        <v>0</v>
      </c>
      <c r="AG300">
        <v>2</v>
      </c>
      <c r="AH300">
        <v>1</v>
      </c>
    </row>
    <row r="301" spans="1:34" x14ac:dyDescent="0.35">
      <c r="A301" t="s">
        <v>361</v>
      </c>
      <c r="B301">
        <v>46</v>
      </c>
      <c r="C301" t="str">
        <f t="shared" si="4"/>
        <v>45-54</v>
      </c>
      <c r="D301" t="s">
        <v>35</v>
      </c>
      <c r="E301" t="s">
        <v>36</v>
      </c>
      <c r="F301" t="s">
        <v>37</v>
      </c>
      <c r="G301">
        <v>505</v>
      </c>
      <c r="H301" t="s">
        <v>38</v>
      </c>
      <c r="I301">
        <v>3</v>
      </c>
      <c r="J301">
        <v>4</v>
      </c>
      <c r="K301" t="s">
        <v>47</v>
      </c>
      <c r="L301">
        <v>2</v>
      </c>
      <c r="M301" t="s">
        <v>40</v>
      </c>
      <c r="N301">
        <v>82</v>
      </c>
      <c r="O301">
        <v>3</v>
      </c>
      <c r="P301">
        <v>2</v>
      </c>
      <c r="Q301" t="s">
        <v>62</v>
      </c>
      <c r="R301">
        <v>3</v>
      </c>
      <c r="S301" t="s">
        <v>42</v>
      </c>
      <c r="T301">
        <v>9076</v>
      </c>
      <c r="U301">
        <v>25621</v>
      </c>
      <c r="V301">
        <v>1</v>
      </c>
      <c r="W301" t="s">
        <v>43</v>
      </c>
      <c r="X301">
        <v>12</v>
      </c>
      <c r="Y301">
        <v>3</v>
      </c>
      <c r="Z301">
        <v>4</v>
      </c>
      <c r="AA301">
        <v>1</v>
      </c>
      <c r="AB301">
        <v>25</v>
      </c>
      <c r="AC301">
        <v>3</v>
      </c>
      <c r="AD301">
        <v>3</v>
      </c>
      <c r="AE301">
        <v>9</v>
      </c>
      <c r="AF301">
        <v>1</v>
      </c>
      <c r="AG301">
        <v>3</v>
      </c>
      <c r="AH301">
        <v>0</v>
      </c>
    </row>
    <row r="302" spans="1:34" x14ac:dyDescent="0.35">
      <c r="A302" t="s">
        <v>362</v>
      </c>
      <c r="B302">
        <v>28</v>
      </c>
      <c r="C302" t="str">
        <f t="shared" si="4"/>
        <v>25-34</v>
      </c>
      <c r="D302" t="s">
        <v>35</v>
      </c>
      <c r="E302" t="s">
        <v>36</v>
      </c>
      <c r="F302" t="s">
        <v>37</v>
      </c>
      <c r="G302">
        <v>497</v>
      </c>
      <c r="H302" t="s">
        <v>38</v>
      </c>
      <c r="I302">
        <v>1</v>
      </c>
      <c r="J302">
        <v>4</v>
      </c>
      <c r="K302" t="s">
        <v>39</v>
      </c>
      <c r="L302">
        <v>4</v>
      </c>
      <c r="M302" t="s">
        <v>40</v>
      </c>
      <c r="N302">
        <v>38</v>
      </c>
      <c r="O302">
        <v>2</v>
      </c>
      <c r="P302">
        <v>2</v>
      </c>
      <c r="Q302" t="s">
        <v>62</v>
      </c>
      <c r="R302">
        <v>3</v>
      </c>
      <c r="S302" t="s">
        <v>49</v>
      </c>
      <c r="T302">
        <v>6306</v>
      </c>
      <c r="U302">
        <v>11966</v>
      </c>
      <c r="V302">
        <v>3</v>
      </c>
      <c r="W302" t="s">
        <v>35</v>
      </c>
      <c r="X302">
        <v>11</v>
      </c>
      <c r="Y302">
        <v>3</v>
      </c>
      <c r="Z302">
        <v>3</v>
      </c>
      <c r="AA302">
        <v>1</v>
      </c>
      <c r="AB302">
        <v>7</v>
      </c>
      <c r="AC302">
        <v>2</v>
      </c>
      <c r="AD302">
        <v>2</v>
      </c>
      <c r="AE302">
        <v>7</v>
      </c>
      <c r="AF302">
        <v>2</v>
      </c>
      <c r="AG302">
        <v>0</v>
      </c>
      <c r="AH302">
        <v>7</v>
      </c>
    </row>
    <row r="303" spans="1:34" x14ac:dyDescent="0.35">
      <c r="A303" t="s">
        <v>363</v>
      </c>
      <c r="B303">
        <v>47</v>
      </c>
      <c r="C303" t="str">
        <f t="shared" si="4"/>
        <v>45-54</v>
      </c>
      <c r="D303" t="s">
        <v>35</v>
      </c>
      <c r="E303" t="s">
        <v>36</v>
      </c>
      <c r="F303" t="s">
        <v>37</v>
      </c>
      <c r="G303">
        <v>1201</v>
      </c>
      <c r="H303" t="s">
        <v>99</v>
      </c>
      <c r="I303">
        <v>11</v>
      </c>
      <c r="J303">
        <v>1</v>
      </c>
      <c r="K303" t="s">
        <v>47</v>
      </c>
      <c r="L303">
        <v>1</v>
      </c>
      <c r="M303" t="s">
        <v>40</v>
      </c>
      <c r="N303">
        <v>85</v>
      </c>
      <c r="O303">
        <v>2</v>
      </c>
      <c r="P303">
        <v>2</v>
      </c>
      <c r="Q303" t="s">
        <v>99</v>
      </c>
      <c r="R303">
        <v>3</v>
      </c>
      <c r="S303" t="s">
        <v>49</v>
      </c>
      <c r="T303">
        <v>7368</v>
      </c>
      <c r="U303">
        <v>4105</v>
      </c>
      <c r="V303">
        <v>2</v>
      </c>
      <c r="W303" t="s">
        <v>35</v>
      </c>
      <c r="X303">
        <v>12</v>
      </c>
      <c r="Y303">
        <v>4</v>
      </c>
      <c r="Z303">
        <v>3</v>
      </c>
      <c r="AA303">
        <v>1</v>
      </c>
      <c r="AB303">
        <v>24</v>
      </c>
      <c r="AC303">
        <v>6</v>
      </c>
      <c r="AD303">
        <v>3</v>
      </c>
      <c r="AE303">
        <v>4</v>
      </c>
      <c r="AF303">
        <v>2</v>
      </c>
      <c r="AG303">
        <v>1</v>
      </c>
      <c r="AH303">
        <v>1</v>
      </c>
    </row>
    <row r="304" spans="1:34" x14ac:dyDescent="0.35">
      <c r="A304" t="s">
        <v>364</v>
      </c>
      <c r="B304">
        <v>28</v>
      </c>
      <c r="C304" t="str">
        <f t="shared" si="4"/>
        <v>25-34</v>
      </c>
      <c r="D304" t="s">
        <v>43</v>
      </c>
      <c r="E304" t="s">
        <v>45</v>
      </c>
      <c r="F304" t="s">
        <v>54</v>
      </c>
      <c r="G304">
        <v>1056</v>
      </c>
      <c r="H304" t="s">
        <v>38</v>
      </c>
      <c r="I304">
        <v>6</v>
      </c>
      <c r="J304">
        <v>3</v>
      </c>
      <c r="K304" t="s">
        <v>69</v>
      </c>
      <c r="L304">
        <v>3</v>
      </c>
      <c r="M304" t="s">
        <v>40</v>
      </c>
      <c r="N304">
        <v>84</v>
      </c>
      <c r="O304">
        <v>3</v>
      </c>
      <c r="P304">
        <v>1</v>
      </c>
      <c r="Q304" t="s">
        <v>52</v>
      </c>
      <c r="R304">
        <v>3</v>
      </c>
      <c r="S304" t="s">
        <v>49</v>
      </c>
      <c r="T304">
        <v>4993</v>
      </c>
      <c r="U304">
        <v>21980</v>
      </c>
      <c r="V304">
        <v>5</v>
      </c>
      <c r="W304" t="s">
        <v>35</v>
      </c>
      <c r="X304">
        <v>15</v>
      </c>
      <c r="Y304">
        <v>3</v>
      </c>
      <c r="Z304">
        <v>2</v>
      </c>
      <c r="AA304">
        <v>1</v>
      </c>
      <c r="AB304">
        <v>7</v>
      </c>
      <c r="AC304">
        <v>3</v>
      </c>
      <c r="AD304">
        <v>3</v>
      </c>
      <c r="AE304">
        <v>2</v>
      </c>
      <c r="AF304">
        <v>2</v>
      </c>
      <c r="AG304">
        <v>0</v>
      </c>
      <c r="AH304">
        <v>2</v>
      </c>
    </row>
    <row r="305" spans="1:34" x14ac:dyDescent="0.35">
      <c r="A305" t="s">
        <v>365</v>
      </c>
      <c r="B305">
        <v>34</v>
      </c>
      <c r="C305" t="str">
        <f t="shared" si="4"/>
        <v>25-34</v>
      </c>
      <c r="D305" t="s">
        <v>35</v>
      </c>
      <c r="E305" t="s">
        <v>36</v>
      </c>
      <c r="F305" t="s">
        <v>54</v>
      </c>
      <c r="G305">
        <v>698</v>
      </c>
      <c r="H305" t="s">
        <v>38</v>
      </c>
      <c r="I305">
        <v>1</v>
      </c>
      <c r="J305">
        <v>3</v>
      </c>
      <c r="K305" t="s">
        <v>69</v>
      </c>
      <c r="L305">
        <v>2</v>
      </c>
      <c r="M305" t="s">
        <v>40</v>
      </c>
      <c r="N305">
        <v>78</v>
      </c>
      <c r="O305">
        <v>2</v>
      </c>
      <c r="P305">
        <v>2</v>
      </c>
      <c r="Q305" t="s">
        <v>52</v>
      </c>
      <c r="R305">
        <v>4</v>
      </c>
      <c r="S305" t="s">
        <v>56</v>
      </c>
      <c r="T305">
        <v>8293</v>
      </c>
      <c r="U305">
        <v>24145</v>
      </c>
      <c r="V305">
        <v>1</v>
      </c>
      <c r="W305" t="s">
        <v>43</v>
      </c>
      <c r="X305">
        <v>19</v>
      </c>
      <c r="Y305">
        <v>4</v>
      </c>
      <c r="Z305">
        <v>1</v>
      </c>
      <c r="AA305">
        <v>1</v>
      </c>
      <c r="AB305">
        <v>14</v>
      </c>
      <c r="AC305">
        <v>0</v>
      </c>
      <c r="AD305">
        <v>3</v>
      </c>
      <c r="AE305">
        <v>8</v>
      </c>
      <c r="AF305">
        <v>1</v>
      </c>
      <c r="AG305">
        <v>0</v>
      </c>
      <c r="AH305">
        <v>7</v>
      </c>
    </row>
    <row r="306" spans="1:34" x14ac:dyDescent="0.35">
      <c r="A306" t="s">
        <v>366</v>
      </c>
      <c r="B306">
        <v>41</v>
      </c>
      <c r="C306" t="str">
        <f t="shared" si="4"/>
        <v>35-44</v>
      </c>
      <c r="D306" t="s">
        <v>35</v>
      </c>
      <c r="E306" t="s">
        <v>36</v>
      </c>
      <c r="F306" t="s">
        <v>37</v>
      </c>
      <c r="G306">
        <v>1245</v>
      </c>
      <c r="H306" t="s">
        <v>38</v>
      </c>
      <c r="I306">
        <v>3</v>
      </c>
      <c r="J306">
        <v>3</v>
      </c>
      <c r="K306" t="s">
        <v>47</v>
      </c>
      <c r="L306">
        <v>1</v>
      </c>
      <c r="M306" t="s">
        <v>51</v>
      </c>
      <c r="N306">
        <v>81</v>
      </c>
      <c r="O306">
        <v>3</v>
      </c>
      <c r="P306">
        <v>4</v>
      </c>
      <c r="Q306" t="s">
        <v>62</v>
      </c>
      <c r="R306">
        <v>1</v>
      </c>
      <c r="S306" t="s">
        <v>42</v>
      </c>
      <c r="T306">
        <v>11992</v>
      </c>
      <c r="U306">
        <v>3955</v>
      </c>
      <c r="V306">
        <v>2</v>
      </c>
      <c r="W306" t="s">
        <v>35</v>
      </c>
      <c r="X306">
        <v>11</v>
      </c>
      <c r="Y306">
        <v>3</v>
      </c>
      <c r="Z306">
        <v>4</v>
      </c>
      <c r="AA306">
        <v>1</v>
      </c>
      <c r="AB306">
        <v>22</v>
      </c>
      <c r="AC306">
        <v>5</v>
      </c>
      <c r="AD306">
        <v>3</v>
      </c>
      <c r="AE306">
        <v>13</v>
      </c>
      <c r="AF306">
        <v>0</v>
      </c>
      <c r="AG306">
        <v>0</v>
      </c>
      <c r="AH306">
        <v>2</v>
      </c>
    </row>
    <row r="307" spans="1:34" x14ac:dyDescent="0.35">
      <c r="A307" t="s">
        <v>367</v>
      </c>
      <c r="B307">
        <v>42</v>
      </c>
      <c r="C307" t="str">
        <f t="shared" si="4"/>
        <v>35-44</v>
      </c>
      <c r="D307" t="s">
        <v>43</v>
      </c>
      <c r="E307" t="s">
        <v>45</v>
      </c>
      <c r="F307" t="s">
        <v>37</v>
      </c>
      <c r="G307">
        <v>1370</v>
      </c>
      <c r="H307" t="s">
        <v>38</v>
      </c>
      <c r="I307">
        <v>1</v>
      </c>
      <c r="J307">
        <v>3</v>
      </c>
      <c r="K307" t="s">
        <v>39</v>
      </c>
      <c r="L307">
        <v>3</v>
      </c>
      <c r="M307" t="s">
        <v>51</v>
      </c>
      <c r="N307">
        <v>58</v>
      </c>
      <c r="O307">
        <v>3</v>
      </c>
      <c r="P307">
        <v>3</v>
      </c>
      <c r="Q307" t="s">
        <v>52</v>
      </c>
      <c r="R307">
        <v>3</v>
      </c>
      <c r="S307" t="s">
        <v>42</v>
      </c>
      <c r="T307">
        <v>9700</v>
      </c>
      <c r="U307">
        <v>7631</v>
      </c>
      <c r="V307">
        <v>5</v>
      </c>
      <c r="W307" t="s">
        <v>35</v>
      </c>
      <c r="X307">
        <v>13</v>
      </c>
      <c r="Y307">
        <v>4</v>
      </c>
      <c r="Z307">
        <v>3</v>
      </c>
      <c r="AA307">
        <v>0</v>
      </c>
      <c r="AB307">
        <v>19</v>
      </c>
      <c r="AC307">
        <v>2</v>
      </c>
      <c r="AD307">
        <v>2</v>
      </c>
      <c r="AE307">
        <v>5</v>
      </c>
      <c r="AF307">
        <v>1</v>
      </c>
      <c r="AG307">
        <v>0</v>
      </c>
      <c r="AH307">
        <v>5</v>
      </c>
    </row>
    <row r="308" spans="1:34" x14ac:dyDescent="0.35">
      <c r="A308" t="s">
        <v>368</v>
      </c>
      <c r="B308">
        <v>51</v>
      </c>
      <c r="C308" t="str">
        <f t="shared" si="4"/>
        <v>45-54</v>
      </c>
      <c r="D308" t="s">
        <v>43</v>
      </c>
      <c r="E308" t="s">
        <v>45</v>
      </c>
      <c r="F308" t="s">
        <v>37</v>
      </c>
      <c r="G308">
        <v>451</v>
      </c>
      <c r="H308" t="s">
        <v>46</v>
      </c>
      <c r="I308">
        <v>20</v>
      </c>
      <c r="J308">
        <v>2</v>
      </c>
      <c r="K308" t="s">
        <v>69</v>
      </c>
      <c r="L308">
        <v>4</v>
      </c>
      <c r="M308" t="s">
        <v>51</v>
      </c>
      <c r="N308">
        <v>62</v>
      </c>
      <c r="O308">
        <v>1</v>
      </c>
      <c r="P308">
        <v>2</v>
      </c>
      <c r="Q308" t="s">
        <v>48</v>
      </c>
      <c r="R308">
        <v>1</v>
      </c>
      <c r="S308" t="s">
        <v>56</v>
      </c>
      <c r="T308">
        <v>7113</v>
      </c>
      <c r="U308">
        <v>24276</v>
      </c>
      <c r="V308">
        <v>3</v>
      </c>
      <c r="W308" t="s">
        <v>43</v>
      </c>
      <c r="X308">
        <v>13</v>
      </c>
      <c r="Y308">
        <v>3</v>
      </c>
      <c r="Z308">
        <v>4</v>
      </c>
      <c r="AA308">
        <v>2</v>
      </c>
      <c r="AB308">
        <v>27</v>
      </c>
      <c r="AC308">
        <v>4</v>
      </c>
      <c r="AD308">
        <v>3</v>
      </c>
      <c r="AE308">
        <v>8</v>
      </c>
      <c r="AF308">
        <v>2</v>
      </c>
      <c r="AG308">
        <v>2</v>
      </c>
      <c r="AH308">
        <v>7</v>
      </c>
    </row>
    <row r="309" spans="1:34" x14ac:dyDescent="0.35">
      <c r="A309" t="s">
        <v>369</v>
      </c>
      <c r="B309">
        <v>21</v>
      </c>
      <c r="C309" t="str">
        <f t="shared" si="4"/>
        <v>under 25</v>
      </c>
      <c r="D309" t="s">
        <v>43</v>
      </c>
      <c r="E309" t="s">
        <v>45</v>
      </c>
      <c r="F309" t="s">
        <v>37</v>
      </c>
      <c r="G309">
        <v>1023</v>
      </c>
      <c r="H309" t="s">
        <v>38</v>
      </c>
      <c r="I309">
        <v>6</v>
      </c>
      <c r="J309">
        <v>3</v>
      </c>
      <c r="K309" t="s">
        <v>69</v>
      </c>
      <c r="L309">
        <v>4</v>
      </c>
      <c r="M309" t="s">
        <v>51</v>
      </c>
      <c r="N309">
        <v>52</v>
      </c>
      <c r="O309">
        <v>4</v>
      </c>
      <c r="P309">
        <v>1</v>
      </c>
      <c r="Q309" t="s">
        <v>48</v>
      </c>
      <c r="R309">
        <v>3</v>
      </c>
      <c r="S309" t="s">
        <v>49</v>
      </c>
      <c r="T309">
        <v>3918</v>
      </c>
      <c r="U309">
        <v>24631</v>
      </c>
      <c r="V309">
        <v>4</v>
      </c>
      <c r="W309" t="s">
        <v>43</v>
      </c>
      <c r="X309">
        <v>18</v>
      </c>
      <c r="Y309">
        <v>3</v>
      </c>
      <c r="Z309">
        <v>1</v>
      </c>
      <c r="AA309">
        <v>1</v>
      </c>
      <c r="AB309">
        <v>0</v>
      </c>
      <c r="AC309">
        <v>3</v>
      </c>
      <c r="AD309">
        <v>1</v>
      </c>
      <c r="AE309">
        <v>0</v>
      </c>
      <c r="AF309">
        <v>0</v>
      </c>
      <c r="AG309">
        <v>0</v>
      </c>
      <c r="AH309">
        <v>0</v>
      </c>
    </row>
    <row r="310" spans="1:34" x14ac:dyDescent="0.35">
      <c r="A310" t="s">
        <v>370</v>
      </c>
      <c r="B310">
        <v>38</v>
      </c>
      <c r="C310" t="str">
        <f t="shared" si="4"/>
        <v>35-44</v>
      </c>
      <c r="D310" t="s">
        <v>35</v>
      </c>
      <c r="E310" t="s">
        <v>36</v>
      </c>
      <c r="F310" t="s">
        <v>37</v>
      </c>
      <c r="G310">
        <v>1199</v>
      </c>
      <c r="H310" t="s">
        <v>38</v>
      </c>
      <c r="I310">
        <v>1</v>
      </c>
      <c r="J310">
        <v>3</v>
      </c>
      <c r="K310" t="s">
        <v>39</v>
      </c>
      <c r="L310">
        <v>1</v>
      </c>
      <c r="M310" t="s">
        <v>40</v>
      </c>
      <c r="N310">
        <v>87</v>
      </c>
      <c r="O310">
        <v>4</v>
      </c>
      <c r="P310">
        <v>1</v>
      </c>
      <c r="Q310" t="s">
        <v>48</v>
      </c>
      <c r="R310">
        <v>2</v>
      </c>
      <c r="S310" t="s">
        <v>42</v>
      </c>
      <c r="T310">
        <v>5923</v>
      </c>
      <c r="U310">
        <v>4637</v>
      </c>
      <c r="V310">
        <v>5</v>
      </c>
      <c r="W310" t="s">
        <v>35</v>
      </c>
      <c r="X310">
        <v>16</v>
      </c>
      <c r="Y310">
        <v>3</v>
      </c>
      <c r="Z310">
        <v>4</v>
      </c>
      <c r="AA310">
        <v>2</v>
      </c>
      <c r="AB310">
        <v>15</v>
      </c>
      <c r="AC310">
        <v>3</v>
      </c>
      <c r="AD310">
        <v>3</v>
      </c>
      <c r="AE310">
        <v>0</v>
      </c>
      <c r="AF310">
        <v>0</v>
      </c>
      <c r="AG310">
        <v>0</v>
      </c>
      <c r="AH310">
        <v>0</v>
      </c>
    </row>
    <row r="311" spans="1:34" x14ac:dyDescent="0.35">
      <c r="A311" t="s">
        <v>371</v>
      </c>
      <c r="B311">
        <v>27</v>
      </c>
      <c r="C311" t="str">
        <f t="shared" si="4"/>
        <v>25-34</v>
      </c>
      <c r="D311" t="s">
        <v>35</v>
      </c>
      <c r="E311" t="s">
        <v>36</v>
      </c>
      <c r="F311" t="s">
        <v>54</v>
      </c>
      <c r="G311">
        <v>1233</v>
      </c>
      <c r="H311" t="s">
        <v>46</v>
      </c>
      <c r="I311">
        <v>1</v>
      </c>
      <c r="J311">
        <v>4</v>
      </c>
      <c r="K311" t="s">
        <v>103</v>
      </c>
      <c r="L311">
        <v>3</v>
      </c>
      <c r="M311" t="s">
        <v>40</v>
      </c>
      <c r="N311">
        <v>73</v>
      </c>
      <c r="O311">
        <v>4</v>
      </c>
      <c r="P311">
        <v>3</v>
      </c>
      <c r="Q311" t="s">
        <v>65</v>
      </c>
      <c r="R311">
        <v>1</v>
      </c>
      <c r="S311" t="s">
        <v>42</v>
      </c>
      <c r="T311">
        <v>7997</v>
      </c>
      <c r="U311">
        <v>13202</v>
      </c>
      <c r="V311">
        <v>2</v>
      </c>
      <c r="W311" t="s">
        <v>35</v>
      </c>
      <c r="X311">
        <v>12</v>
      </c>
      <c r="Y311">
        <v>3</v>
      </c>
      <c r="Z311">
        <v>4</v>
      </c>
      <c r="AA311">
        <v>1</v>
      </c>
      <c r="AB311">
        <v>5</v>
      </c>
      <c r="AC311">
        <v>2</v>
      </c>
      <c r="AD311">
        <v>3</v>
      </c>
      <c r="AE311">
        <v>5</v>
      </c>
      <c r="AF311">
        <v>1</v>
      </c>
      <c r="AG311">
        <v>0</v>
      </c>
      <c r="AH311">
        <v>2</v>
      </c>
    </row>
    <row r="312" spans="1:34" x14ac:dyDescent="0.35">
      <c r="A312" t="s">
        <v>372</v>
      </c>
      <c r="B312">
        <v>29</v>
      </c>
      <c r="C312" t="str">
        <f t="shared" si="4"/>
        <v>25-34</v>
      </c>
      <c r="D312" t="s">
        <v>43</v>
      </c>
      <c r="E312" t="s">
        <v>45</v>
      </c>
      <c r="F312" t="s">
        <v>37</v>
      </c>
      <c r="G312">
        <v>856</v>
      </c>
      <c r="H312" t="s">
        <v>38</v>
      </c>
      <c r="I312">
        <v>3</v>
      </c>
      <c r="J312">
        <v>3</v>
      </c>
      <c r="K312" t="s">
        <v>69</v>
      </c>
      <c r="L312">
        <v>2</v>
      </c>
      <c r="M312" t="s">
        <v>40</v>
      </c>
      <c r="N312">
        <v>34</v>
      </c>
      <c r="O312">
        <v>2</v>
      </c>
      <c r="P312">
        <v>1</v>
      </c>
      <c r="Q312" t="s">
        <v>62</v>
      </c>
      <c r="R312">
        <v>1</v>
      </c>
      <c r="S312" t="s">
        <v>42</v>
      </c>
      <c r="T312">
        <v>4536</v>
      </c>
      <c r="U312">
        <v>2689</v>
      </c>
      <c r="V312">
        <v>4</v>
      </c>
      <c r="W312" t="s">
        <v>43</v>
      </c>
      <c r="X312">
        <v>11</v>
      </c>
      <c r="Y312">
        <v>3</v>
      </c>
      <c r="Z312">
        <v>4</v>
      </c>
      <c r="AA312">
        <v>0</v>
      </c>
      <c r="AB312">
        <v>5</v>
      </c>
      <c r="AC312">
        <v>5</v>
      </c>
      <c r="AD312">
        <v>4</v>
      </c>
      <c r="AE312">
        <v>2</v>
      </c>
      <c r="AF312">
        <v>0</v>
      </c>
      <c r="AG312">
        <v>1</v>
      </c>
      <c r="AH312">
        <v>2</v>
      </c>
    </row>
    <row r="313" spans="1:34" x14ac:dyDescent="0.35">
      <c r="A313" t="s">
        <v>373</v>
      </c>
      <c r="B313">
        <v>43</v>
      </c>
      <c r="C313" t="str">
        <f t="shared" si="4"/>
        <v>35-44</v>
      </c>
      <c r="D313" t="s">
        <v>35</v>
      </c>
      <c r="E313" t="s">
        <v>36</v>
      </c>
      <c r="F313" t="s">
        <v>37</v>
      </c>
      <c r="G313">
        <v>968</v>
      </c>
      <c r="H313" t="s">
        <v>38</v>
      </c>
      <c r="I313">
        <v>9</v>
      </c>
      <c r="J313">
        <v>3</v>
      </c>
      <c r="K313" t="s">
        <v>39</v>
      </c>
      <c r="L313">
        <v>3</v>
      </c>
      <c r="M313" t="s">
        <v>40</v>
      </c>
      <c r="N313">
        <v>40</v>
      </c>
      <c r="O313">
        <v>3</v>
      </c>
      <c r="P313">
        <v>2</v>
      </c>
      <c r="Q313" t="s">
        <v>41</v>
      </c>
      <c r="R313">
        <v>1</v>
      </c>
      <c r="S313" t="s">
        <v>49</v>
      </c>
      <c r="T313">
        <v>7075</v>
      </c>
      <c r="U313">
        <v>26789</v>
      </c>
      <c r="V313">
        <v>3</v>
      </c>
      <c r="W313" t="s">
        <v>35</v>
      </c>
      <c r="X313">
        <v>15</v>
      </c>
      <c r="Y313">
        <v>3</v>
      </c>
      <c r="Z313">
        <v>4</v>
      </c>
      <c r="AA313">
        <v>1</v>
      </c>
      <c r="AB313">
        <v>20</v>
      </c>
      <c r="AC313">
        <v>2</v>
      </c>
      <c r="AD313">
        <v>3</v>
      </c>
      <c r="AE313">
        <v>1</v>
      </c>
      <c r="AF313">
        <v>1</v>
      </c>
      <c r="AG313">
        <v>1</v>
      </c>
      <c r="AH313">
        <v>0</v>
      </c>
    </row>
    <row r="314" spans="1:34" x14ac:dyDescent="0.35">
      <c r="A314" t="s">
        <v>374</v>
      </c>
      <c r="B314">
        <v>38</v>
      </c>
      <c r="C314" t="str">
        <f t="shared" si="4"/>
        <v>35-44</v>
      </c>
      <c r="D314" t="s">
        <v>43</v>
      </c>
      <c r="E314" t="s">
        <v>45</v>
      </c>
      <c r="F314" t="s">
        <v>37</v>
      </c>
      <c r="G314">
        <v>243</v>
      </c>
      <c r="H314" t="s">
        <v>38</v>
      </c>
      <c r="I314">
        <v>13</v>
      </c>
      <c r="J314">
        <v>1</v>
      </c>
      <c r="K314" t="s">
        <v>47</v>
      </c>
      <c r="L314">
        <v>3</v>
      </c>
      <c r="M314" t="s">
        <v>40</v>
      </c>
      <c r="N314">
        <v>73</v>
      </c>
      <c r="O314">
        <v>2</v>
      </c>
      <c r="P314">
        <v>2</v>
      </c>
      <c r="Q314" t="s">
        <v>52</v>
      </c>
      <c r="R314">
        <v>4</v>
      </c>
      <c r="S314" t="s">
        <v>56</v>
      </c>
      <c r="T314">
        <v>8653</v>
      </c>
      <c r="U314">
        <v>8598</v>
      </c>
      <c r="V314">
        <v>2</v>
      </c>
      <c r="W314" t="s">
        <v>35</v>
      </c>
      <c r="X314">
        <v>15</v>
      </c>
      <c r="Y314">
        <v>3</v>
      </c>
      <c r="Z314">
        <v>4</v>
      </c>
      <c r="AA314">
        <v>0</v>
      </c>
      <c r="AB314">
        <v>17</v>
      </c>
      <c r="AC314">
        <v>1</v>
      </c>
      <c r="AD314">
        <v>2</v>
      </c>
      <c r="AE314">
        <v>4</v>
      </c>
      <c r="AF314">
        <v>1</v>
      </c>
      <c r="AG314">
        <v>0</v>
      </c>
      <c r="AH314">
        <v>2</v>
      </c>
    </row>
    <row r="315" spans="1:34" x14ac:dyDescent="0.35">
      <c r="A315" t="s">
        <v>375</v>
      </c>
      <c r="B315">
        <v>35</v>
      </c>
      <c r="C315" t="str">
        <f t="shared" si="4"/>
        <v>35-44</v>
      </c>
      <c r="D315" t="s">
        <v>35</v>
      </c>
      <c r="E315" t="s">
        <v>36</v>
      </c>
      <c r="F315" t="s">
        <v>37</v>
      </c>
      <c r="G315">
        <v>1366</v>
      </c>
      <c r="H315" t="s">
        <v>38</v>
      </c>
      <c r="I315">
        <v>6</v>
      </c>
      <c r="J315">
        <v>3</v>
      </c>
      <c r="K315" t="s">
        <v>69</v>
      </c>
      <c r="L315">
        <v>3</v>
      </c>
      <c r="M315" t="s">
        <v>40</v>
      </c>
      <c r="N315">
        <v>93</v>
      </c>
      <c r="O315">
        <v>3</v>
      </c>
      <c r="P315">
        <v>2</v>
      </c>
      <c r="Q315" t="s">
        <v>60</v>
      </c>
      <c r="R315">
        <v>3</v>
      </c>
      <c r="S315" t="s">
        <v>49</v>
      </c>
      <c r="T315">
        <v>7034</v>
      </c>
      <c r="U315">
        <v>11357</v>
      </c>
      <c r="V315">
        <v>2</v>
      </c>
      <c r="W315" t="s">
        <v>35</v>
      </c>
      <c r="X315">
        <v>11</v>
      </c>
      <c r="Y315">
        <v>3</v>
      </c>
      <c r="Z315">
        <v>4</v>
      </c>
      <c r="AA315">
        <v>0</v>
      </c>
      <c r="AB315">
        <v>13</v>
      </c>
      <c r="AC315">
        <v>3</v>
      </c>
      <c r="AD315">
        <v>4</v>
      </c>
      <c r="AE315">
        <v>7</v>
      </c>
      <c r="AF315">
        <v>0</v>
      </c>
      <c r="AG315">
        <v>0</v>
      </c>
      <c r="AH315">
        <v>1</v>
      </c>
    </row>
    <row r="316" spans="1:34" x14ac:dyDescent="0.35">
      <c r="A316" t="s">
        <v>376</v>
      </c>
      <c r="B316">
        <v>49</v>
      </c>
      <c r="C316" t="str">
        <f t="shared" si="4"/>
        <v>45-54</v>
      </c>
      <c r="D316" t="s">
        <v>35</v>
      </c>
      <c r="E316" t="s">
        <v>36</v>
      </c>
      <c r="F316" t="s">
        <v>59</v>
      </c>
      <c r="G316">
        <v>1474</v>
      </c>
      <c r="H316" t="s">
        <v>38</v>
      </c>
      <c r="I316">
        <v>4</v>
      </c>
      <c r="J316">
        <v>3</v>
      </c>
      <c r="K316" t="s">
        <v>64</v>
      </c>
      <c r="L316">
        <v>4</v>
      </c>
      <c r="M316" t="s">
        <v>40</v>
      </c>
      <c r="N316">
        <v>88</v>
      </c>
      <c r="O316">
        <v>4</v>
      </c>
      <c r="P316">
        <v>1</v>
      </c>
      <c r="Q316" t="s">
        <v>52</v>
      </c>
      <c r="R316">
        <v>3</v>
      </c>
      <c r="S316" t="s">
        <v>42</v>
      </c>
      <c r="T316">
        <v>5805</v>
      </c>
      <c r="U316">
        <v>19562</v>
      </c>
      <c r="V316">
        <v>3</v>
      </c>
      <c r="W316" t="s">
        <v>35</v>
      </c>
      <c r="X316">
        <v>13</v>
      </c>
      <c r="Y316">
        <v>3</v>
      </c>
      <c r="Z316">
        <v>4</v>
      </c>
      <c r="AA316">
        <v>2</v>
      </c>
      <c r="AB316">
        <v>30</v>
      </c>
      <c r="AC316">
        <v>5</v>
      </c>
      <c r="AD316">
        <v>2</v>
      </c>
      <c r="AE316">
        <v>0</v>
      </c>
      <c r="AF316">
        <v>0</v>
      </c>
      <c r="AG316">
        <v>0</v>
      </c>
      <c r="AH316">
        <v>0</v>
      </c>
    </row>
    <row r="317" spans="1:34" x14ac:dyDescent="0.35">
      <c r="A317" t="s">
        <v>377</v>
      </c>
      <c r="B317">
        <v>35</v>
      </c>
      <c r="C317" t="str">
        <f t="shared" si="4"/>
        <v>35-44</v>
      </c>
      <c r="D317" t="s">
        <v>35</v>
      </c>
      <c r="E317" t="s">
        <v>36</v>
      </c>
      <c r="F317" t="s">
        <v>37</v>
      </c>
      <c r="G317">
        <v>145</v>
      </c>
      <c r="H317" t="s">
        <v>46</v>
      </c>
      <c r="I317">
        <v>22</v>
      </c>
      <c r="J317">
        <v>4</v>
      </c>
      <c r="K317" t="s">
        <v>69</v>
      </c>
      <c r="L317">
        <v>4</v>
      </c>
      <c r="M317" t="s">
        <v>40</v>
      </c>
      <c r="N317">
        <v>64</v>
      </c>
      <c r="O317">
        <v>3</v>
      </c>
      <c r="P317">
        <v>1</v>
      </c>
      <c r="Q317" t="s">
        <v>48</v>
      </c>
      <c r="R317">
        <v>2</v>
      </c>
      <c r="S317" t="s">
        <v>42</v>
      </c>
      <c r="T317">
        <v>4569</v>
      </c>
      <c r="U317">
        <v>13548</v>
      </c>
      <c r="V317">
        <v>2</v>
      </c>
      <c r="W317" t="s">
        <v>35</v>
      </c>
      <c r="X317">
        <v>12</v>
      </c>
      <c r="Y317">
        <v>3</v>
      </c>
      <c r="Z317">
        <v>2</v>
      </c>
      <c r="AA317">
        <v>1</v>
      </c>
      <c r="AB317">
        <v>12</v>
      </c>
      <c r="AC317">
        <v>3</v>
      </c>
      <c r="AD317">
        <v>3</v>
      </c>
      <c r="AE317">
        <v>0</v>
      </c>
      <c r="AF317">
        <v>0</v>
      </c>
      <c r="AG317">
        <v>0</v>
      </c>
      <c r="AH317">
        <v>0</v>
      </c>
    </row>
    <row r="318" spans="1:34" x14ac:dyDescent="0.35">
      <c r="A318" t="s">
        <v>378</v>
      </c>
      <c r="B318">
        <v>36</v>
      </c>
      <c r="C318" t="str">
        <f t="shared" si="4"/>
        <v>35-44</v>
      </c>
      <c r="D318" t="s">
        <v>35</v>
      </c>
      <c r="E318" t="s">
        <v>36</v>
      </c>
      <c r="F318" t="s">
        <v>54</v>
      </c>
      <c r="G318">
        <v>428</v>
      </c>
      <c r="H318" t="s">
        <v>38</v>
      </c>
      <c r="I318">
        <v>4</v>
      </c>
      <c r="J318">
        <v>2</v>
      </c>
      <c r="K318" t="s">
        <v>39</v>
      </c>
      <c r="L318">
        <v>1</v>
      </c>
      <c r="M318" t="s">
        <v>51</v>
      </c>
      <c r="N318">
        <v>36</v>
      </c>
      <c r="O318">
        <v>3</v>
      </c>
      <c r="P318">
        <v>4</v>
      </c>
      <c r="Q318" t="s">
        <v>60</v>
      </c>
      <c r="R318">
        <v>3</v>
      </c>
      <c r="S318" t="s">
        <v>42</v>
      </c>
      <c r="T318">
        <v>10348</v>
      </c>
      <c r="U318">
        <v>3320</v>
      </c>
      <c r="V318">
        <v>0</v>
      </c>
      <c r="W318" t="s">
        <v>35</v>
      </c>
      <c r="X318">
        <v>23</v>
      </c>
      <c r="Y318">
        <v>3</v>
      </c>
      <c r="Z318">
        <v>2</v>
      </c>
      <c r="AA318">
        <v>0</v>
      </c>
      <c r="AB318">
        <v>14</v>
      </c>
      <c r="AC318">
        <v>1</v>
      </c>
      <c r="AD318">
        <v>4</v>
      </c>
      <c r="AE318">
        <v>12</v>
      </c>
      <c r="AF318">
        <v>10</v>
      </c>
      <c r="AG318">
        <v>1</v>
      </c>
      <c r="AH318">
        <v>5</v>
      </c>
    </row>
    <row r="319" spans="1:34" x14ac:dyDescent="0.35">
      <c r="A319" t="s">
        <v>379</v>
      </c>
      <c r="B319">
        <v>37</v>
      </c>
      <c r="C319" t="str">
        <f t="shared" si="4"/>
        <v>35-44</v>
      </c>
      <c r="D319" t="s">
        <v>35</v>
      </c>
      <c r="E319" t="s">
        <v>36</v>
      </c>
      <c r="F319" t="s">
        <v>37</v>
      </c>
      <c r="G319">
        <v>308</v>
      </c>
      <c r="H319" t="s">
        <v>38</v>
      </c>
      <c r="I319">
        <v>1</v>
      </c>
      <c r="J319">
        <v>3</v>
      </c>
      <c r="K319" t="s">
        <v>47</v>
      </c>
      <c r="L319">
        <v>1</v>
      </c>
      <c r="M319" t="s">
        <v>51</v>
      </c>
      <c r="N319">
        <v>91</v>
      </c>
      <c r="O319">
        <v>4</v>
      </c>
      <c r="P319">
        <v>1</v>
      </c>
      <c r="Q319" t="s">
        <v>60</v>
      </c>
      <c r="R319">
        <v>3</v>
      </c>
      <c r="S319" t="s">
        <v>49</v>
      </c>
      <c r="T319">
        <v>3966</v>
      </c>
      <c r="U319">
        <v>11047</v>
      </c>
      <c r="V319">
        <v>6</v>
      </c>
      <c r="W319" t="s">
        <v>43</v>
      </c>
      <c r="X319">
        <v>15</v>
      </c>
      <c r="Y319">
        <v>4</v>
      </c>
      <c r="Z319">
        <v>1</v>
      </c>
      <c r="AA319">
        <v>2</v>
      </c>
      <c r="AB319">
        <v>16</v>
      </c>
      <c r="AC319">
        <v>2</v>
      </c>
      <c r="AD319">
        <v>3</v>
      </c>
      <c r="AE319">
        <v>3</v>
      </c>
      <c r="AF319">
        <v>0</v>
      </c>
      <c r="AG319">
        <v>1</v>
      </c>
      <c r="AH319">
        <v>3</v>
      </c>
    </row>
    <row r="320" spans="1:34" x14ac:dyDescent="0.35">
      <c r="A320" t="s">
        <v>380</v>
      </c>
      <c r="B320">
        <v>33</v>
      </c>
      <c r="C320" t="str">
        <f t="shared" si="4"/>
        <v>25-34</v>
      </c>
      <c r="D320" t="s">
        <v>35</v>
      </c>
      <c r="E320" t="s">
        <v>36</v>
      </c>
      <c r="F320" t="s">
        <v>37</v>
      </c>
      <c r="G320">
        <v>976</v>
      </c>
      <c r="H320" t="s">
        <v>46</v>
      </c>
      <c r="I320">
        <v>1</v>
      </c>
      <c r="J320">
        <v>3</v>
      </c>
      <c r="K320" t="s">
        <v>103</v>
      </c>
      <c r="L320">
        <v>1</v>
      </c>
      <c r="M320" t="s">
        <v>40</v>
      </c>
      <c r="N320">
        <v>57</v>
      </c>
      <c r="O320">
        <v>2</v>
      </c>
      <c r="P320">
        <v>1</v>
      </c>
      <c r="Q320" t="s">
        <v>65</v>
      </c>
      <c r="R320">
        <v>3</v>
      </c>
      <c r="S320" t="s">
        <v>49</v>
      </c>
      <c r="T320">
        <v>4133</v>
      </c>
      <c r="U320">
        <v>4661</v>
      </c>
      <c r="V320">
        <v>0</v>
      </c>
      <c r="W320" t="s">
        <v>35</v>
      </c>
      <c r="X320">
        <v>17</v>
      </c>
      <c r="Y320">
        <v>3</v>
      </c>
      <c r="Z320">
        <v>4</v>
      </c>
      <c r="AA320">
        <v>1</v>
      </c>
      <c r="AB320">
        <v>12</v>
      </c>
      <c r="AC320">
        <v>1</v>
      </c>
      <c r="AD320">
        <v>3</v>
      </c>
      <c r="AE320">
        <v>0</v>
      </c>
      <c r="AF320">
        <v>0</v>
      </c>
      <c r="AG320">
        <v>0</v>
      </c>
      <c r="AH320">
        <v>0</v>
      </c>
    </row>
    <row r="321" spans="1:34" x14ac:dyDescent="0.35">
      <c r="A321" t="s">
        <v>381</v>
      </c>
      <c r="B321">
        <v>33</v>
      </c>
      <c r="C321" t="str">
        <f t="shared" si="4"/>
        <v>25-34</v>
      </c>
      <c r="D321" t="s">
        <v>35</v>
      </c>
      <c r="E321" t="s">
        <v>36</v>
      </c>
      <c r="F321" t="s">
        <v>37</v>
      </c>
      <c r="G321">
        <v>378</v>
      </c>
      <c r="H321" t="s">
        <v>38</v>
      </c>
      <c r="I321">
        <v>9</v>
      </c>
      <c r="J321">
        <v>3</v>
      </c>
      <c r="K321" t="s">
        <v>39</v>
      </c>
      <c r="L321">
        <v>4</v>
      </c>
      <c r="M321" t="s">
        <v>51</v>
      </c>
      <c r="N321">
        <v>72</v>
      </c>
      <c r="O321">
        <v>2</v>
      </c>
      <c r="P321">
        <v>3</v>
      </c>
      <c r="Q321" t="s">
        <v>41</v>
      </c>
      <c r="R321">
        <v>4</v>
      </c>
      <c r="S321" t="s">
        <v>49</v>
      </c>
      <c r="T321">
        <v>9069</v>
      </c>
      <c r="U321">
        <v>20102</v>
      </c>
      <c r="V321">
        <v>1</v>
      </c>
      <c r="W321" t="s">
        <v>43</v>
      </c>
      <c r="X321">
        <v>11</v>
      </c>
      <c r="Y321">
        <v>3</v>
      </c>
      <c r="Z321">
        <v>3</v>
      </c>
      <c r="AA321">
        <v>1</v>
      </c>
      <c r="AB321">
        <v>9</v>
      </c>
      <c r="AC321">
        <v>4</v>
      </c>
      <c r="AD321">
        <v>1</v>
      </c>
      <c r="AE321">
        <v>9</v>
      </c>
      <c r="AF321">
        <v>1</v>
      </c>
      <c r="AG321">
        <v>1</v>
      </c>
      <c r="AH321">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13870-DD36-480C-8FE6-DEEAFB6C55CB}">
  <dimension ref="A1:AJ21"/>
  <sheetViews>
    <sheetView topLeftCell="AC1" workbookViewId="0">
      <selection activeCell="AF23" sqref="AF23"/>
    </sheetView>
  </sheetViews>
  <sheetFormatPr defaultRowHeight="14.5" x14ac:dyDescent="0.35"/>
  <cols>
    <col min="1" max="1" width="12.36328125" bestFit="1" customWidth="1"/>
    <col min="2" max="2" width="21.90625" bestFit="1" customWidth="1"/>
    <col min="5" max="5" width="12.36328125" bestFit="1" customWidth="1"/>
    <col min="6" max="6" width="21.90625" bestFit="1" customWidth="1"/>
    <col min="7" max="7" width="5.81640625" bestFit="1" customWidth="1"/>
    <col min="8" max="8" width="3.81640625" bestFit="1" customWidth="1"/>
    <col min="10" max="10" width="22.08984375" bestFit="1" customWidth="1"/>
    <col min="11" max="11" width="21.90625" bestFit="1" customWidth="1"/>
    <col min="12" max="12" width="22.08984375" bestFit="1" customWidth="1"/>
    <col min="13" max="13" width="3.81640625" bestFit="1" customWidth="1"/>
    <col min="15" max="15" width="22.08984375" bestFit="1" customWidth="1"/>
    <col min="16" max="16" width="15.26953125" bestFit="1" customWidth="1"/>
    <col min="17" max="17" width="4" bestFit="1" customWidth="1"/>
    <col min="18" max="18" width="10.7265625" bestFit="1" customWidth="1"/>
    <col min="19" max="19" width="22.08984375" bestFit="1" customWidth="1"/>
    <col min="20" max="20" width="3.81640625" bestFit="1" customWidth="1"/>
    <col min="21" max="21" width="2.81640625" bestFit="1" customWidth="1"/>
    <col min="23" max="23" width="12.36328125" bestFit="1" customWidth="1"/>
    <col min="24" max="24" width="21.90625" bestFit="1" customWidth="1"/>
    <col min="25" max="25" width="8.26953125" bestFit="1" customWidth="1"/>
    <col min="26" max="26" width="3.81640625" bestFit="1" customWidth="1"/>
    <col min="28" max="28" width="23" bestFit="1" customWidth="1"/>
    <col min="29" max="29" width="21.90625" bestFit="1" customWidth="1"/>
    <col min="30" max="30" width="23" bestFit="1" customWidth="1"/>
    <col min="31" max="31" width="2.81640625" bestFit="1" customWidth="1"/>
    <col min="33" max="33" width="12.36328125" bestFit="1" customWidth="1"/>
    <col min="34" max="34" width="21.90625" bestFit="1" customWidth="1"/>
    <col min="35" max="35" width="3.36328125" customWidth="1"/>
    <col min="36" max="36" width="3.81640625" bestFit="1" customWidth="1"/>
  </cols>
  <sheetData>
    <row r="1" spans="1:36" x14ac:dyDescent="0.35">
      <c r="E1" s="6" t="s">
        <v>382</v>
      </c>
      <c r="F1" t="s">
        <v>383</v>
      </c>
      <c r="J1" s="6" t="s">
        <v>382</v>
      </c>
      <c r="K1" t="s">
        <v>383</v>
      </c>
      <c r="O1" s="6" t="s">
        <v>383</v>
      </c>
      <c r="P1" s="6" t="s">
        <v>384</v>
      </c>
      <c r="W1" s="6" t="s">
        <v>382</v>
      </c>
      <c r="X1" t="s">
        <v>383</v>
      </c>
      <c r="AB1" s="6" t="s">
        <v>382</v>
      </c>
      <c r="AC1" t="s">
        <v>383</v>
      </c>
      <c r="AG1" s="6" t="s">
        <v>382</v>
      </c>
      <c r="AH1" t="s">
        <v>383</v>
      </c>
    </row>
    <row r="2" spans="1:36" x14ac:dyDescent="0.35">
      <c r="A2" s="1" t="s">
        <v>385</v>
      </c>
      <c r="E2" s="2" t="s">
        <v>36</v>
      </c>
      <c r="F2" s="7">
        <v>256</v>
      </c>
      <c r="G2" s="3" t="str">
        <f>E2</f>
        <v>Active</v>
      </c>
      <c r="H2" s="3">
        <f>GETPIVOTDATA("EmployeeName",$E$1,"EmployeeStatus",G2)</f>
        <v>256</v>
      </c>
      <c r="J2" s="2" t="s">
        <v>99</v>
      </c>
      <c r="K2" s="7">
        <v>9</v>
      </c>
      <c r="L2" s="3" t="str">
        <f>J2</f>
        <v>Human Resources</v>
      </c>
      <c r="M2" s="3">
        <f>GETPIVOTDATA("EmployeeName",$J$1,"Department",L2)</f>
        <v>9</v>
      </c>
      <c r="O2" s="6" t="s">
        <v>382</v>
      </c>
      <c r="P2" t="s">
        <v>36</v>
      </c>
      <c r="Q2" t="s">
        <v>45</v>
      </c>
      <c r="R2" t="s">
        <v>386</v>
      </c>
      <c r="W2" s="2" t="s">
        <v>387</v>
      </c>
      <c r="X2" s="7">
        <v>100</v>
      </c>
      <c r="Y2" s="3" t="str">
        <f>W2</f>
        <v>25-34</v>
      </c>
      <c r="Z2" s="3">
        <f>GETPIVOTDATA("EmployeeName",$W$1,"Age Group",Y2)</f>
        <v>100</v>
      </c>
      <c r="AB2" s="2" t="s">
        <v>55</v>
      </c>
      <c r="AC2" s="7">
        <v>32</v>
      </c>
      <c r="AD2" s="3" t="str">
        <f>AB2</f>
        <v>Healthcare Representative</v>
      </c>
      <c r="AE2" s="3">
        <f>GETPIVOTDATA("EmployeeName",$AB$1,"JobRole",AD2)</f>
        <v>32</v>
      </c>
      <c r="AG2" s="2">
        <v>1</v>
      </c>
      <c r="AH2" s="7">
        <v>57</v>
      </c>
      <c r="AI2" s="3">
        <f>AG2</f>
        <v>1</v>
      </c>
      <c r="AJ2" s="3">
        <f>GETPIVOTDATA("EmployeeName",$AG$1,"JobSatisfaction",AI2)</f>
        <v>57</v>
      </c>
    </row>
    <row r="3" spans="1:36" x14ac:dyDescent="0.35">
      <c r="A3" t="s">
        <v>383</v>
      </c>
      <c r="E3" s="2" t="s">
        <v>45</v>
      </c>
      <c r="F3" s="7">
        <v>64</v>
      </c>
      <c r="G3" s="3" t="str">
        <f>E3</f>
        <v>Left</v>
      </c>
      <c r="H3" s="3">
        <f>GETPIVOTDATA("EmployeeName",$E$1,"EmployeeStatus",G3)</f>
        <v>64</v>
      </c>
      <c r="J3" s="2" t="s">
        <v>38</v>
      </c>
      <c r="K3" s="7">
        <v>200</v>
      </c>
      <c r="L3" s="3" t="str">
        <f t="shared" ref="L3:L4" si="0">J3</f>
        <v>Research &amp; Development</v>
      </c>
      <c r="M3" s="3">
        <f t="shared" ref="M3:M4" si="1">GETPIVOTDATA("EmployeeName",$J$1,"Department",L3)</f>
        <v>200</v>
      </c>
      <c r="O3" s="2" t="s">
        <v>99</v>
      </c>
      <c r="P3" s="7">
        <v>7</v>
      </c>
      <c r="Q3" s="7">
        <v>2</v>
      </c>
      <c r="R3" s="7">
        <v>9</v>
      </c>
      <c r="S3" s="3" t="str">
        <f>O3</f>
        <v>Human Resources</v>
      </c>
      <c r="T3" s="3">
        <f>GETPIVOTDATA("EmployeeName",$O$1,"EmployeeStatus","Active","Department",S3)</f>
        <v>7</v>
      </c>
      <c r="U3" s="3">
        <f>GETPIVOTDATA("EmployeeName",$O$1,"EmployeeStatus","Left","Department",S3)</f>
        <v>2</v>
      </c>
      <c r="W3" s="2" t="s">
        <v>388</v>
      </c>
      <c r="X3" s="7">
        <v>136</v>
      </c>
      <c r="Y3" s="3" t="str">
        <f t="shared" ref="Y3:Y6" si="2">W3</f>
        <v>35-44</v>
      </c>
      <c r="Z3" s="3">
        <f t="shared" ref="Z3:Z6" si="3">GETPIVOTDATA("EmployeeName",$W$1,"Age Group",Y3)</f>
        <v>136</v>
      </c>
      <c r="AB3" s="2" t="s">
        <v>99</v>
      </c>
      <c r="AC3" s="7">
        <v>5</v>
      </c>
      <c r="AD3" s="3" t="str">
        <f t="shared" ref="AD3:AD10" si="4">AB3</f>
        <v>Human Resources</v>
      </c>
      <c r="AE3" s="3">
        <f t="shared" ref="AE3:AE10" si="5">GETPIVOTDATA("EmployeeName",$AB$1,"JobRole",AD3)</f>
        <v>5</v>
      </c>
      <c r="AG3" s="2">
        <v>2</v>
      </c>
      <c r="AH3" s="7">
        <v>54</v>
      </c>
      <c r="AI3" s="3">
        <f t="shared" ref="AI3:AI5" si="6">AG3</f>
        <v>2</v>
      </c>
      <c r="AJ3" s="3">
        <f t="shared" ref="AJ3:AJ5" si="7">GETPIVOTDATA("EmployeeName",$AG$1,"JobSatisfaction",AI3)</f>
        <v>54</v>
      </c>
    </row>
    <row r="4" spans="1:36" x14ac:dyDescent="0.35">
      <c r="A4" s="7">
        <v>320</v>
      </c>
      <c r="E4" s="2" t="s">
        <v>386</v>
      </c>
      <c r="F4" s="7">
        <v>320</v>
      </c>
      <c r="J4" s="2" t="s">
        <v>46</v>
      </c>
      <c r="K4" s="7">
        <v>111</v>
      </c>
      <c r="L4" s="3" t="str">
        <f t="shared" si="0"/>
        <v>Sales</v>
      </c>
      <c r="M4" s="3">
        <f t="shared" si="1"/>
        <v>111</v>
      </c>
      <c r="O4" s="2" t="s">
        <v>38</v>
      </c>
      <c r="P4" s="7">
        <v>160</v>
      </c>
      <c r="Q4" s="7">
        <v>40</v>
      </c>
      <c r="R4" s="7">
        <v>200</v>
      </c>
      <c r="S4" s="3" t="str">
        <f t="shared" ref="S4:S5" si="8">O4</f>
        <v>Research &amp; Development</v>
      </c>
      <c r="T4" s="3">
        <f t="shared" ref="T4:T5" si="9">GETPIVOTDATA("EmployeeName",$O$1,"EmployeeStatus","Active","Department",S4)</f>
        <v>160</v>
      </c>
      <c r="U4" s="3">
        <f t="shared" ref="U4:U5" si="10">GETPIVOTDATA("EmployeeName",$O$1,"EmployeeStatus","Left","Department",S4)</f>
        <v>40</v>
      </c>
      <c r="W4" s="2" t="s">
        <v>389</v>
      </c>
      <c r="X4" s="7">
        <v>45</v>
      </c>
      <c r="Y4" s="3" t="str">
        <f t="shared" si="2"/>
        <v>45-54</v>
      </c>
      <c r="Z4" s="3">
        <f t="shared" si="3"/>
        <v>45</v>
      </c>
      <c r="AB4" s="2" t="s">
        <v>60</v>
      </c>
      <c r="AC4" s="7">
        <v>38</v>
      </c>
      <c r="AD4" s="3" t="str">
        <f t="shared" si="4"/>
        <v>Laboratory Technician</v>
      </c>
      <c r="AE4" s="3">
        <f t="shared" si="5"/>
        <v>38</v>
      </c>
      <c r="AG4" s="2">
        <v>3</v>
      </c>
      <c r="AH4" s="7">
        <v>99</v>
      </c>
      <c r="AI4" s="3">
        <f t="shared" si="6"/>
        <v>3</v>
      </c>
      <c r="AJ4" s="3">
        <f t="shared" si="7"/>
        <v>99</v>
      </c>
    </row>
    <row r="5" spans="1:36" x14ac:dyDescent="0.35">
      <c r="J5" s="2" t="s">
        <v>386</v>
      </c>
      <c r="K5" s="7">
        <v>320</v>
      </c>
      <c r="O5" s="2" t="s">
        <v>46</v>
      </c>
      <c r="P5" s="7">
        <v>89</v>
      </c>
      <c r="Q5" s="7">
        <v>22</v>
      </c>
      <c r="R5" s="7">
        <v>111</v>
      </c>
      <c r="S5" s="3" t="str">
        <f t="shared" si="8"/>
        <v>Sales</v>
      </c>
      <c r="T5" s="3">
        <f t="shared" si="9"/>
        <v>89</v>
      </c>
      <c r="U5" s="3">
        <f t="shared" si="10"/>
        <v>22</v>
      </c>
      <c r="W5" s="2" t="s">
        <v>390</v>
      </c>
      <c r="X5" s="7">
        <v>7</v>
      </c>
      <c r="Y5" s="3" t="str">
        <f t="shared" si="2"/>
        <v>55+</v>
      </c>
      <c r="Z5" s="3">
        <f t="shared" si="3"/>
        <v>7</v>
      </c>
      <c r="AB5" s="2" t="s">
        <v>48</v>
      </c>
      <c r="AC5" s="7">
        <v>86</v>
      </c>
      <c r="AD5" s="3" t="str">
        <f t="shared" si="4"/>
        <v>Manager</v>
      </c>
      <c r="AE5" s="3">
        <f t="shared" si="5"/>
        <v>86</v>
      </c>
      <c r="AG5" s="2">
        <v>4</v>
      </c>
      <c r="AH5" s="7">
        <v>110</v>
      </c>
      <c r="AI5" s="3">
        <f t="shared" si="6"/>
        <v>4</v>
      </c>
      <c r="AJ5" s="3">
        <f t="shared" si="7"/>
        <v>110</v>
      </c>
    </row>
    <row r="6" spans="1:36" x14ac:dyDescent="0.35">
      <c r="A6" s="1" t="s">
        <v>391</v>
      </c>
      <c r="O6" s="2" t="s">
        <v>386</v>
      </c>
      <c r="P6" s="7">
        <v>256</v>
      </c>
      <c r="Q6" s="7">
        <v>64</v>
      </c>
      <c r="R6" s="7">
        <v>320</v>
      </c>
      <c r="W6" s="2" t="s">
        <v>392</v>
      </c>
      <c r="X6" s="7">
        <v>32</v>
      </c>
      <c r="Y6" s="3" t="str">
        <f t="shared" si="2"/>
        <v>under 25</v>
      </c>
      <c r="Z6" s="3">
        <f t="shared" si="3"/>
        <v>32</v>
      </c>
      <c r="AB6" s="2" t="s">
        <v>62</v>
      </c>
      <c r="AC6" s="7">
        <v>35</v>
      </c>
      <c r="AD6" s="3" t="str">
        <f t="shared" si="4"/>
        <v>Manufacturing Director</v>
      </c>
      <c r="AE6" s="3">
        <f t="shared" si="5"/>
        <v>35</v>
      </c>
      <c r="AG6" s="2" t="s">
        <v>386</v>
      </c>
      <c r="AH6" s="7">
        <v>320</v>
      </c>
    </row>
    <row r="7" spans="1:36" x14ac:dyDescent="0.35">
      <c r="A7" t="s">
        <v>393</v>
      </c>
      <c r="W7" s="2" t="s">
        <v>386</v>
      </c>
      <c r="X7" s="7">
        <v>320</v>
      </c>
      <c r="AB7" s="2" t="s">
        <v>41</v>
      </c>
      <c r="AC7" s="7">
        <v>27</v>
      </c>
      <c r="AD7" s="3" t="str">
        <f t="shared" si="4"/>
        <v>Research Director</v>
      </c>
      <c r="AE7" s="3">
        <f t="shared" si="5"/>
        <v>27</v>
      </c>
    </row>
    <row r="8" spans="1:36" x14ac:dyDescent="0.35">
      <c r="A8" s="7">
        <v>4.4312500000000004</v>
      </c>
      <c r="AB8" s="2" t="s">
        <v>52</v>
      </c>
      <c r="AC8" s="7">
        <v>34</v>
      </c>
      <c r="AD8" s="3" t="str">
        <f t="shared" si="4"/>
        <v>Research Scientist</v>
      </c>
      <c r="AE8" s="3">
        <f t="shared" si="5"/>
        <v>34</v>
      </c>
    </row>
    <row r="9" spans="1:36" x14ac:dyDescent="0.35">
      <c r="AB9" s="2" t="s">
        <v>80</v>
      </c>
      <c r="AC9" s="7">
        <v>35</v>
      </c>
      <c r="AD9" s="3" t="str">
        <f t="shared" si="4"/>
        <v>Sales Executive</v>
      </c>
      <c r="AE9" s="3">
        <f t="shared" si="5"/>
        <v>35</v>
      </c>
    </row>
    <row r="10" spans="1:36" x14ac:dyDescent="0.35">
      <c r="A10" s="1" t="s">
        <v>394</v>
      </c>
      <c r="AB10" s="2" t="s">
        <v>65</v>
      </c>
      <c r="AC10" s="7">
        <v>28</v>
      </c>
      <c r="AD10" s="3" t="str">
        <f t="shared" si="4"/>
        <v>Sales Representative</v>
      </c>
      <c r="AE10" s="3">
        <f t="shared" si="5"/>
        <v>28</v>
      </c>
    </row>
    <row r="11" spans="1:36" x14ac:dyDescent="0.35">
      <c r="A11" s="6" t="s">
        <v>382</v>
      </c>
      <c r="B11" t="s">
        <v>383</v>
      </c>
      <c r="AB11" s="2" t="s">
        <v>386</v>
      </c>
      <c r="AC11" s="7">
        <v>320</v>
      </c>
    </row>
    <row r="12" spans="1:36" x14ac:dyDescent="0.35">
      <c r="A12" s="2" t="s">
        <v>36</v>
      </c>
      <c r="B12" s="7">
        <v>256</v>
      </c>
    </row>
    <row r="13" spans="1:36" x14ac:dyDescent="0.35">
      <c r="A13" s="2" t="s">
        <v>45</v>
      </c>
      <c r="B13" s="7">
        <v>64</v>
      </c>
    </row>
    <row r="14" spans="1:36" x14ac:dyDescent="0.35">
      <c r="A14" s="2" t="s">
        <v>386</v>
      </c>
      <c r="B14" s="7">
        <v>320</v>
      </c>
    </row>
    <row r="16" spans="1:36" x14ac:dyDescent="0.35">
      <c r="A16">
        <f>GETPIVOTDATA("EmployeeName",$A$3)</f>
        <v>320</v>
      </c>
      <c r="B16" t="s">
        <v>395</v>
      </c>
    </row>
    <row r="17" spans="1:2" x14ac:dyDescent="0.35">
      <c r="A17">
        <f>GETPIVOTDATA("YearsAtCompany",$A$7)</f>
        <v>4.4312500000000004</v>
      </c>
      <c r="B17" t="s">
        <v>396</v>
      </c>
    </row>
    <row r="18" spans="1:2" x14ac:dyDescent="0.35">
      <c r="A18">
        <f>GETPIVOTDATA("EmployeeName",$A$11,"EmployeeStatus","Left")</f>
        <v>64</v>
      </c>
      <c r="B18" t="s">
        <v>397</v>
      </c>
    </row>
    <row r="19" spans="1:2" x14ac:dyDescent="0.35">
      <c r="A19" s="4">
        <f>GETPIVOTDATA("EmployeeName",$A$11,"EmployeeStatus","Left")/GETPIVOTDATA("EmployeeName",$A$3)</f>
        <v>0.2</v>
      </c>
      <c r="B19" t="s">
        <v>398</v>
      </c>
    </row>
    <row r="21" spans="1:2" x14ac:dyDescent="0.35">
      <c r="B2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8C27C-54D9-4F86-8AD8-BE712DFE64F0}">
  <dimension ref="A1"/>
  <sheetViews>
    <sheetView tabSelected="1" zoomScale="70" zoomScaleNormal="70" workbookViewId="0">
      <selection activeCell="W12" sqref="W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IBM HR Employee Attrition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Afshan Bashir</dc:creator>
  <cp:lastModifiedBy>Afshan Bashir</cp:lastModifiedBy>
  <dcterms:created xsi:type="dcterms:W3CDTF">2026-09-04T12:37:22Z</dcterms:created>
  <dcterms:modified xsi:type="dcterms:W3CDTF">2026-09-04T18:15:27Z</dcterms:modified>
</cp:coreProperties>
</file>